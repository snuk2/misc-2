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marc/Dropbox (University of Michigan)/Bio173/Module 3-24 Ecology/"/>
    </mc:Choice>
  </mc:AlternateContent>
  <xr:revisionPtr revIDLastSave="0" documentId="8_{38C177FB-C67D-084E-9B6C-A6063F205DCE}" xr6:coauthVersionLast="47" xr6:coauthVersionMax="47" xr10:uidLastSave="{00000000-0000-0000-0000-000000000000}"/>
  <bookViews>
    <workbookView xWindow="0" yWindow="500" windowWidth="47240" windowHeight="28300" activeTab="11" xr2:uid="{00000000-000D-0000-FFFF-FFFF00000000}"/>
  </bookViews>
  <sheets>
    <sheet name="M2-5" sheetId="1" r:id="rId1"/>
    <sheet name="M7-10" sheetId="2" r:id="rId2"/>
    <sheet name="T9-12" sheetId="3" r:id="rId3"/>
    <sheet name="T2-5" sheetId="4" r:id="rId4"/>
    <sheet name="T7-10" sheetId="5" r:id="rId5"/>
    <sheet name="W9-12" sheetId="6" r:id="rId6"/>
    <sheet name="W2-5" sheetId="7" r:id="rId7"/>
    <sheet name="W7-10" sheetId="8" r:id="rId8"/>
    <sheet name="Th9-12" sheetId="9" r:id="rId9"/>
    <sheet name="Th2-5" sheetId="10" r:id="rId10"/>
    <sheet name="Th7-10" sheetId="11" r:id="rId11"/>
    <sheet name="all sect" sheetId="12" r:id="rId12"/>
    <sheet name="oat tomato" sheetId="13" r:id="rId13"/>
    <sheet name="oat alfalfa" sheetId="17" r:id="rId14"/>
    <sheet name="tomato alfalfa" sheetId="18" r:id="rId15"/>
  </sheets>
  <definedNames>
    <definedName name="_xlchart.v1.0" hidden="1">'oat tomato'!$J$3:$J$6</definedName>
    <definedName name="_xlchart.v1.1" hidden="1">'oat tomato'!$K$2</definedName>
    <definedName name="_xlchart.v1.10" hidden="1">'oat tomato'!$J$3:$J$6</definedName>
    <definedName name="_xlchart.v1.11" hidden="1">'oat tomato'!$K$2</definedName>
    <definedName name="_xlchart.v1.12" hidden="1">'oat tomato'!$K$3:$K$6</definedName>
    <definedName name="_xlchart.v1.13" hidden="1">'oat tomato'!$L$2</definedName>
    <definedName name="_xlchart.v1.14" hidden="1">'oat tomato'!$L$3:$L$6</definedName>
    <definedName name="_xlchart.v1.2" hidden="1">'oat tomato'!$K$3:$K$6</definedName>
    <definedName name="_xlchart.v1.3" hidden="1">'oat tomato'!$L$2</definedName>
    <definedName name="_xlchart.v1.4" hidden="1">'oat tomato'!$L$3:$L$6</definedName>
    <definedName name="_xlchart.v1.5" hidden="1">'oat tomato'!$J$3:$J$6</definedName>
    <definedName name="_xlchart.v1.6" hidden="1">'oat tomato'!$K$2</definedName>
    <definedName name="_xlchart.v1.7" hidden="1">'oat tomato'!$K$3:$K$6</definedName>
    <definedName name="_xlchart.v1.8" hidden="1">'oat tomato'!$L$2</definedName>
    <definedName name="_xlchart.v1.9" hidden="1">'oat tomato'!$L$3:$L$6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8" l="1"/>
  <c r="L29" i="18"/>
  <c r="L6" i="18"/>
  <c r="L5" i="18"/>
  <c r="L4" i="18"/>
  <c r="K31" i="18"/>
  <c r="K30" i="18"/>
  <c r="K29" i="18"/>
  <c r="K6" i="18"/>
  <c r="K5" i="18"/>
  <c r="K4" i="18"/>
  <c r="H30" i="18"/>
  <c r="H29" i="18"/>
  <c r="H5" i="18"/>
  <c r="H4" i="18"/>
  <c r="G30" i="18"/>
  <c r="G29" i="18"/>
  <c r="G28" i="18"/>
  <c r="G5" i="18"/>
  <c r="G4" i="18"/>
  <c r="G3" i="18"/>
  <c r="D30" i="18"/>
  <c r="D29" i="18"/>
  <c r="C30" i="18"/>
  <c r="C29" i="18"/>
  <c r="C28" i="18"/>
  <c r="D5" i="18"/>
  <c r="D4" i="18"/>
  <c r="C5" i="18"/>
  <c r="C4" i="18"/>
  <c r="C3" i="18"/>
  <c r="L31" i="18"/>
  <c r="H31" i="18"/>
  <c r="D31" i="18"/>
  <c r="H6" i="18"/>
  <c r="D6" i="18"/>
  <c r="L31" i="17"/>
  <c r="L30" i="17"/>
  <c r="L29" i="17"/>
  <c r="K30" i="17"/>
  <c r="K29" i="17"/>
  <c r="L6" i="17"/>
  <c r="L5" i="17"/>
  <c r="L4" i="17"/>
  <c r="K5" i="17"/>
  <c r="K4" i="17"/>
  <c r="H31" i="17"/>
  <c r="H30" i="17"/>
  <c r="H29" i="17"/>
  <c r="H6" i="17"/>
  <c r="H5" i="17"/>
  <c r="H4" i="17"/>
  <c r="G30" i="17"/>
  <c r="G29" i="17"/>
  <c r="G5" i="17"/>
  <c r="G4" i="17"/>
  <c r="D31" i="17"/>
  <c r="D30" i="17"/>
  <c r="D29" i="17"/>
  <c r="D6" i="17"/>
  <c r="D4" i="17"/>
  <c r="C30" i="17"/>
  <c r="C29" i="17"/>
  <c r="D5" i="17"/>
  <c r="C5" i="17"/>
  <c r="C4" i="17"/>
  <c r="K31" i="17"/>
  <c r="G28" i="17"/>
  <c r="C28" i="17"/>
  <c r="K6" i="17"/>
  <c r="G3" i="17"/>
  <c r="C3" i="17"/>
  <c r="K29" i="13"/>
  <c r="L29" i="13"/>
  <c r="K30" i="13"/>
  <c r="L30" i="13"/>
  <c r="K31" i="13"/>
  <c r="L31" i="13"/>
  <c r="H31" i="13"/>
  <c r="H30" i="13"/>
  <c r="H29" i="13"/>
  <c r="G30" i="13"/>
  <c r="G29" i="13"/>
  <c r="G28" i="13"/>
  <c r="H6" i="13"/>
  <c r="H5" i="13"/>
  <c r="H4" i="13"/>
  <c r="G5" i="13"/>
  <c r="G4" i="13"/>
  <c r="G3" i="13"/>
  <c r="D4" i="13"/>
  <c r="D5" i="13"/>
  <c r="D6" i="13"/>
  <c r="C5" i="13"/>
  <c r="C4" i="13"/>
  <c r="C3" i="13"/>
  <c r="L6" i="13"/>
  <c r="L5" i="13"/>
  <c r="L4" i="13"/>
  <c r="K4" i="13"/>
  <c r="K5" i="13"/>
  <c r="K6" i="13"/>
  <c r="U27" i="12"/>
  <c r="U28" i="12"/>
  <c r="U29" i="12"/>
  <c r="U33" i="12"/>
  <c r="U34" i="12"/>
  <c r="U35" i="12"/>
  <c r="U36" i="12"/>
  <c r="U37" i="12"/>
  <c r="U38" i="12"/>
  <c r="U39" i="12"/>
  <c r="U40" i="12"/>
  <c r="D31" i="13"/>
  <c r="D30" i="13"/>
  <c r="D29" i="13"/>
  <c r="C30" i="13"/>
  <c r="C29" i="13"/>
  <c r="C28" i="13"/>
  <c r="D4" i="8" l="1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BI54" i="12"/>
  <c r="BH54" i="12"/>
  <c r="BG54" i="12"/>
  <c r="BF54" i="12"/>
  <c r="BE54" i="12"/>
  <c r="BD54" i="12"/>
  <c r="BC54" i="12"/>
  <c r="BB54" i="12"/>
  <c r="BA54" i="12"/>
  <c r="AZ54" i="12"/>
  <c r="AY54" i="12"/>
  <c r="AX54" i="12"/>
  <c r="AW54" i="12"/>
  <c r="AV54" i="12"/>
  <c r="AU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BI53" i="12"/>
  <c r="BH53" i="12"/>
  <c r="BG53" i="12"/>
  <c r="BF53" i="12"/>
  <c r="BE53" i="12"/>
  <c r="BD53" i="12"/>
  <c r="BC53" i="12"/>
  <c r="BB53" i="12"/>
  <c r="BA53" i="12"/>
  <c r="AZ53" i="12"/>
  <c r="AY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BI52" i="12"/>
  <c r="BH52" i="12"/>
  <c r="BG52" i="12"/>
  <c r="BF52" i="12"/>
  <c r="BE52" i="12"/>
  <c r="BD52" i="12"/>
  <c r="BC52" i="12"/>
  <c r="BB52" i="12"/>
  <c r="BA52" i="12"/>
  <c r="AZ52" i="12"/>
  <c r="AY52" i="12"/>
  <c r="AX52" i="12"/>
  <c r="AW52" i="12"/>
  <c r="AV52" i="12"/>
  <c r="AU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BI51" i="12"/>
  <c r="BH51" i="12"/>
  <c r="BG51" i="12"/>
  <c r="BF51" i="12"/>
  <c r="BE51" i="12"/>
  <c r="BD51" i="12"/>
  <c r="BC51" i="12"/>
  <c r="BB51" i="12"/>
  <c r="BA51" i="12"/>
  <c r="AZ51" i="12"/>
  <c r="AY51" i="12"/>
  <c r="AX51" i="12"/>
  <c r="AW51" i="12"/>
  <c r="AV51" i="12"/>
  <c r="AU51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BI50" i="12"/>
  <c r="BH50" i="12"/>
  <c r="BG50" i="12"/>
  <c r="BF50" i="12"/>
  <c r="BE50" i="12"/>
  <c r="BD50" i="12"/>
  <c r="BC50" i="12"/>
  <c r="BB50" i="12"/>
  <c r="BA50" i="12"/>
  <c r="AZ50" i="12"/>
  <c r="AY50" i="12"/>
  <c r="AX50" i="12"/>
  <c r="AW50" i="12"/>
  <c r="AV50" i="12"/>
  <c r="AU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BI49" i="12"/>
  <c r="BH49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BI48" i="12"/>
  <c r="BH48" i="12"/>
  <c r="BG48" i="12"/>
  <c r="BF48" i="12"/>
  <c r="BE48" i="12"/>
  <c r="BD48" i="12"/>
  <c r="BC48" i="12"/>
  <c r="BB48" i="12"/>
  <c r="BA48" i="12"/>
  <c r="AZ48" i="12"/>
  <c r="AY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R57" i="12" s="1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BI47" i="12"/>
  <c r="BG47" i="12"/>
  <c r="BF47" i="12"/>
  <c r="BE47" i="12"/>
  <c r="BC47" i="12"/>
  <c r="BB47" i="12"/>
  <c r="BB59" i="12" s="1"/>
  <c r="BA47" i="12"/>
  <c r="AY47" i="12"/>
  <c r="AY56" i="12" s="1"/>
  <c r="AX47" i="12"/>
  <c r="AW47" i="12"/>
  <c r="AU47" i="12"/>
  <c r="AT47" i="12"/>
  <c r="AS47" i="12"/>
  <c r="AQ47" i="12"/>
  <c r="AQ57" i="12" s="1"/>
  <c r="AP47" i="12"/>
  <c r="AO47" i="12"/>
  <c r="AM47" i="12"/>
  <c r="AL47" i="12"/>
  <c r="AK47" i="12"/>
  <c r="AI47" i="12"/>
  <c r="AH47" i="12"/>
  <c r="AG47" i="12"/>
  <c r="AE47" i="12"/>
  <c r="AD47" i="12"/>
  <c r="AC47" i="12"/>
  <c r="AC57" i="12" s="1"/>
  <c r="AA47" i="12"/>
  <c r="AA58" i="12" s="1"/>
  <c r="Z47" i="12"/>
  <c r="Z59" i="12" s="1"/>
  <c r="Y47" i="12"/>
  <c r="W47" i="12"/>
  <c r="W59" i="12" s="1"/>
  <c r="V47" i="12"/>
  <c r="U47" i="12"/>
  <c r="S47" i="12"/>
  <c r="R47" i="12"/>
  <c r="Q47" i="12"/>
  <c r="O47" i="12"/>
  <c r="N47" i="12"/>
  <c r="M47" i="12"/>
  <c r="K47" i="12"/>
  <c r="J47" i="12"/>
  <c r="I47" i="12"/>
  <c r="G47" i="12"/>
  <c r="F47" i="12"/>
  <c r="E47" i="12"/>
  <c r="E57" i="12" s="1"/>
  <c r="C47" i="12"/>
  <c r="B47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BI46" i="12"/>
  <c r="BH46" i="12"/>
  <c r="BG46" i="12"/>
  <c r="BF46" i="12"/>
  <c r="BE46" i="12"/>
  <c r="BD46" i="12"/>
  <c r="BC46" i="12"/>
  <c r="BB46" i="12"/>
  <c r="BA46" i="12"/>
  <c r="AZ46" i="12"/>
  <c r="AY46" i="12"/>
  <c r="AX46" i="12"/>
  <c r="AW46" i="12"/>
  <c r="AV46" i="12"/>
  <c r="AU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BI45" i="12"/>
  <c r="BH45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BI14" i="12"/>
  <c r="BH14" i="12"/>
  <c r="BG14" i="12"/>
  <c r="BF14" i="12"/>
  <c r="BE14" i="12"/>
  <c r="BD14" i="12"/>
  <c r="BC14" i="12"/>
  <c r="BB14" i="12"/>
  <c r="BA14" i="12"/>
  <c r="AZ14" i="12"/>
  <c r="AY14" i="12"/>
  <c r="AY28" i="12" s="1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AR35" i="12"/>
  <c r="AQ35" i="12"/>
  <c r="AP35" i="12"/>
  <c r="AP58" i="12" s="1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V56" i="12" s="1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B58" i="12" s="1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BG3" i="12"/>
  <c r="BH3" i="12"/>
  <c r="BI3" i="12"/>
  <c r="BG4" i="12"/>
  <c r="BH4" i="12"/>
  <c r="BI4" i="12"/>
  <c r="BG33" i="12"/>
  <c r="BH33" i="12"/>
  <c r="BI33" i="12"/>
  <c r="BI59" i="12" s="1"/>
  <c r="BG34" i="12"/>
  <c r="BH34" i="12"/>
  <c r="BI34" i="12"/>
  <c r="BI57" i="12" s="1"/>
  <c r="BC3" i="12"/>
  <c r="BD3" i="12"/>
  <c r="BE3" i="12"/>
  <c r="BC4" i="12"/>
  <c r="BD4" i="12"/>
  <c r="BE4" i="12"/>
  <c r="BC33" i="12"/>
  <c r="BD33" i="12"/>
  <c r="BE33" i="12"/>
  <c r="BC34" i="12"/>
  <c r="BD34" i="12"/>
  <c r="BE34" i="12"/>
  <c r="AY3" i="12"/>
  <c r="AZ3" i="12"/>
  <c r="BA3" i="12"/>
  <c r="AY4" i="12"/>
  <c r="AZ4" i="12"/>
  <c r="BA4" i="12"/>
  <c r="AY33" i="12"/>
  <c r="AY58" i="12" s="1"/>
  <c r="AZ33" i="12"/>
  <c r="BA33" i="12"/>
  <c r="AY34" i="12"/>
  <c r="AZ34" i="12"/>
  <c r="BA34" i="12"/>
  <c r="AU3" i="12"/>
  <c r="AV3" i="12"/>
  <c r="AW3" i="12"/>
  <c r="AU4" i="12"/>
  <c r="AV4" i="12"/>
  <c r="AW4" i="12"/>
  <c r="AU33" i="12"/>
  <c r="AV33" i="12"/>
  <c r="AW33" i="12"/>
  <c r="AW57" i="12" s="1"/>
  <c r="AU34" i="12"/>
  <c r="AV34" i="12"/>
  <c r="AW34" i="12"/>
  <c r="AQ3" i="12"/>
  <c r="AR3" i="12"/>
  <c r="AS3" i="12"/>
  <c r="AQ4" i="12"/>
  <c r="AR4" i="12"/>
  <c r="AS4" i="12"/>
  <c r="AQ33" i="12"/>
  <c r="AQ59" i="12" s="1"/>
  <c r="AR33" i="12"/>
  <c r="AS33" i="12"/>
  <c r="AS59" i="12" s="1"/>
  <c r="AQ34" i="12"/>
  <c r="AR34" i="12"/>
  <c r="AS34" i="12"/>
  <c r="BF34" i="12"/>
  <c r="BF33" i="12"/>
  <c r="BF4" i="12"/>
  <c r="BF3" i="12"/>
  <c r="BB34" i="12"/>
  <c r="BB33" i="12"/>
  <c r="BB58" i="12" s="1"/>
  <c r="BB4" i="12"/>
  <c r="BB3" i="12"/>
  <c r="AX34" i="12"/>
  <c r="AX33" i="12"/>
  <c r="AX4" i="12"/>
  <c r="AX3" i="12"/>
  <c r="AT34" i="12"/>
  <c r="AT33" i="12"/>
  <c r="AT4" i="12"/>
  <c r="AT3" i="12"/>
  <c r="AP34" i="12"/>
  <c r="AP33" i="12"/>
  <c r="AP4" i="12"/>
  <c r="AP3" i="12"/>
  <c r="AP27" i="12" s="1"/>
  <c r="AM3" i="12"/>
  <c r="AN3" i="12"/>
  <c r="AO3" i="12"/>
  <c r="AM4" i="12"/>
  <c r="AN4" i="12"/>
  <c r="AO4" i="12"/>
  <c r="AM33" i="12"/>
  <c r="AN33" i="12"/>
  <c r="AO33" i="12"/>
  <c r="AO56" i="12" s="1"/>
  <c r="AM34" i="12"/>
  <c r="AM59" i="12" s="1"/>
  <c r="AN34" i="12"/>
  <c r="AO34" i="12"/>
  <c r="AI3" i="12"/>
  <c r="AJ3" i="12"/>
  <c r="AK3" i="12"/>
  <c r="AI4" i="12"/>
  <c r="AJ4" i="12"/>
  <c r="AK4" i="12"/>
  <c r="AI33" i="12"/>
  <c r="AI57" i="12" s="1"/>
  <c r="AJ33" i="12"/>
  <c r="AK33" i="12"/>
  <c r="AI34" i="12"/>
  <c r="AJ34" i="12"/>
  <c r="AK34" i="12"/>
  <c r="AE3" i="12"/>
  <c r="AE27" i="12" s="1"/>
  <c r="AF3" i="12"/>
  <c r="AG3" i="12"/>
  <c r="AE4" i="12"/>
  <c r="AF4" i="12"/>
  <c r="AG4" i="12"/>
  <c r="AE33" i="12"/>
  <c r="AE58" i="12" s="1"/>
  <c r="AF33" i="12"/>
  <c r="AG33" i="12"/>
  <c r="AE34" i="12"/>
  <c r="AF34" i="12"/>
  <c r="AG34" i="12"/>
  <c r="AA3" i="12"/>
  <c r="AB3" i="12"/>
  <c r="AC3" i="12"/>
  <c r="AA4" i="12"/>
  <c r="AB4" i="12"/>
  <c r="AC4" i="12"/>
  <c r="AA33" i="12"/>
  <c r="AB33" i="12"/>
  <c r="AC33" i="12"/>
  <c r="AC59" i="12" s="1"/>
  <c r="AA34" i="12"/>
  <c r="AB34" i="12"/>
  <c r="AC34" i="12"/>
  <c r="W3" i="12"/>
  <c r="X3" i="12"/>
  <c r="Y3" i="12"/>
  <c r="W4" i="12"/>
  <c r="X4" i="12"/>
  <c r="Y4" i="12"/>
  <c r="W33" i="12"/>
  <c r="W57" i="12" s="1"/>
  <c r="X33" i="12"/>
  <c r="Y33" i="12"/>
  <c r="Y57" i="12" s="1"/>
  <c r="W34" i="12"/>
  <c r="X34" i="12"/>
  <c r="Y34" i="12"/>
  <c r="AL34" i="12"/>
  <c r="AL33" i="12"/>
  <c r="AL4" i="12"/>
  <c r="AL3" i="12"/>
  <c r="AH34" i="12"/>
  <c r="AH33" i="12"/>
  <c r="AH57" i="12" s="1"/>
  <c r="AH4" i="12"/>
  <c r="AH3" i="12"/>
  <c r="AD34" i="12"/>
  <c r="AD33" i="12"/>
  <c r="AD59" i="12" s="1"/>
  <c r="AD4" i="12"/>
  <c r="AD3" i="12"/>
  <c r="Z34" i="12"/>
  <c r="Z33" i="12"/>
  <c r="Z4" i="12"/>
  <c r="Z3" i="12"/>
  <c r="V34" i="12"/>
  <c r="V33" i="12"/>
  <c r="V4" i="12"/>
  <c r="V3" i="12"/>
  <c r="S3" i="12"/>
  <c r="T3" i="12"/>
  <c r="U3" i="12"/>
  <c r="S4" i="12"/>
  <c r="T4" i="12"/>
  <c r="U4" i="12"/>
  <c r="S33" i="12"/>
  <c r="T33" i="12"/>
  <c r="U57" i="12"/>
  <c r="S34" i="12"/>
  <c r="T34" i="12"/>
  <c r="R34" i="12"/>
  <c r="R33" i="12"/>
  <c r="R4" i="12"/>
  <c r="R3" i="12"/>
  <c r="O3" i="12"/>
  <c r="P3" i="12"/>
  <c r="Q3" i="12"/>
  <c r="O4" i="12"/>
  <c r="P4" i="12"/>
  <c r="Q4" i="12"/>
  <c r="O33" i="12"/>
  <c r="P33" i="12"/>
  <c r="Q33" i="12"/>
  <c r="O34" i="12"/>
  <c r="P34" i="12"/>
  <c r="Q34" i="12"/>
  <c r="N34" i="12"/>
  <c r="N33" i="12"/>
  <c r="N56" i="12" s="1"/>
  <c r="N4" i="12"/>
  <c r="N3" i="12"/>
  <c r="K3" i="12"/>
  <c r="L3" i="12"/>
  <c r="M3" i="12"/>
  <c r="K4" i="12"/>
  <c r="L4" i="12"/>
  <c r="M4" i="12"/>
  <c r="K33" i="12"/>
  <c r="K57" i="12" s="1"/>
  <c r="L33" i="12"/>
  <c r="M33" i="12"/>
  <c r="K34" i="12"/>
  <c r="L34" i="12"/>
  <c r="M34" i="12"/>
  <c r="J34" i="12"/>
  <c r="J33" i="12"/>
  <c r="J57" i="12" s="1"/>
  <c r="J4" i="12"/>
  <c r="J3" i="12"/>
  <c r="G3" i="12"/>
  <c r="H3" i="12"/>
  <c r="I3" i="12"/>
  <c r="G4" i="12"/>
  <c r="H4" i="12"/>
  <c r="I4" i="12"/>
  <c r="G33" i="12"/>
  <c r="H33" i="12"/>
  <c r="I33" i="12"/>
  <c r="G34" i="12"/>
  <c r="H34" i="12"/>
  <c r="I34" i="12"/>
  <c r="I56" i="12" s="1"/>
  <c r="F34" i="12"/>
  <c r="F33" i="12"/>
  <c r="F4" i="12"/>
  <c r="F3" i="12"/>
  <c r="C3" i="12"/>
  <c r="D3" i="12"/>
  <c r="E3" i="12"/>
  <c r="C4" i="12"/>
  <c r="D4" i="12"/>
  <c r="E4" i="12"/>
  <c r="C33" i="12"/>
  <c r="D33" i="12"/>
  <c r="E33" i="12"/>
  <c r="C34" i="12"/>
  <c r="D34" i="12"/>
  <c r="E34" i="12"/>
  <c r="B34" i="12"/>
  <c r="B33" i="12"/>
  <c r="B4" i="12"/>
  <c r="B3" i="12"/>
  <c r="Z56" i="12" l="1"/>
  <c r="AT58" i="12"/>
  <c r="E59" i="12"/>
  <c r="G57" i="12"/>
  <c r="AA59" i="12"/>
  <c r="AA57" i="12"/>
  <c r="G56" i="12"/>
  <c r="R59" i="12"/>
  <c r="AA56" i="12"/>
  <c r="AG57" i="12"/>
  <c r="AU56" i="12"/>
  <c r="F58" i="12"/>
  <c r="AL56" i="12"/>
  <c r="BF56" i="12"/>
  <c r="C59" i="12"/>
  <c r="M56" i="12"/>
  <c r="BB56" i="12"/>
  <c r="Q59" i="12"/>
  <c r="V57" i="12"/>
  <c r="AP56" i="12"/>
  <c r="O59" i="12"/>
  <c r="B59" i="12"/>
  <c r="I57" i="12"/>
  <c r="S58" i="12"/>
  <c r="AM58" i="12"/>
  <c r="BG59" i="12"/>
  <c r="BG56" i="12"/>
  <c r="S57" i="12"/>
  <c r="O58" i="12"/>
  <c r="O56" i="12"/>
  <c r="AF28" i="12"/>
  <c r="V26" i="12"/>
  <c r="V63" i="12" s="1"/>
  <c r="AF29" i="12"/>
  <c r="AU26" i="12"/>
  <c r="G27" i="12"/>
  <c r="Q27" i="12"/>
  <c r="AA26" i="12"/>
  <c r="AK26" i="12"/>
  <c r="BE26" i="12"/>
  <c r="AU57" i="12"/>
  <c r="B56" i="12"/>
  <c r="AQ56" i="12"/>
  <c r="BI56" i="12"/>
  <c r="M57" i="12"/>
  <c r="BB57" i="12"/>
  <c r="G58" i="12"/>
  <c r="U58" i="12"/>
  <c r="AG58" i="12"/>
  <c r="F59" i="12"/>
  <c r="S59" i="12"/>
  <c r="AE59" i="12"/>
  <c r="B29" i="12"/>
  <c r="AF26" i="12"/>
  <c r="AV26" i="12"/>
  <c r="R28" i="12"/>
  <c r="AL28" i="12"/>
  <c r="AV28" i="12"/>
  <c r="H27" i="12"/>
  <c r="BF28" i="12"/>
  <c r="R27" i="12"/>
  <c r="H28" i="12"/>
  <c r="C56" i="12"/>
  <c r="Q56" i="12"/>
  <c r="AC56" i="12"/>
  <c r="B57" i="12"/>
  <c r="N57" i="12"/>
  <c r="AL57" i="12"/>
  <c r="V58" i="12"/>
  <c r="AL58" i="12"/>
  <c r="G59" i="12"/>
  <c r="U59" i="12"/>
  <c r="AY59" i="12"/>
  <c r="AP28" i="12"/>
  <c r="AP57" i="12"/>
  <c r="BA29" i="12"/>
  <c r="AK59" i="12"/>
  <c r="BF27" i="12"/>
  <c r="AW26" i="12"/>
  <c r="I27" i="12"/>
  <c r="S27" i="12"/>
  <c r="AC26" i="12"/>
  <c r="AC63" i="12" s="1"/>
  <c r="AM28" i="12"/>
  <c r="BG29" i="12"/>
  <c r="AM29" i="12"/>
  <c r="BG27" i="12"/>
  <c r="AW59" i="12"/>
  <c r="E56" i="12"/>
  <c r="R56" i="12"/>
  <c r="AE56" i="12"/>
  <c r="C57" i="12"/>
  <c r="O57" i="12"/>
  <c r="Z57" i="12"/>
  <c r="AM57" i="12"/>
  <c r="BF57" i="12"/>
  <c r="I58" i="12"/>
  <c r="W58" i="12"/>
  <c r="V59" i="12"/>
  <c r="AG59" i="12"/>
  <c r="BC59" i="12"/>
  <c r="J27" i="12"/>
  <c r="AD29" i="12"/>
  <c r="AN28" i="12"/>
  <c r="AX29" i="12"/>
  <c r="BH28" i="12"/>
  <c r="AD26" i="12"/>
  <c r="AN26" i="12"/>
  <c r="AX28" i="12"/>
  <c r="BH29" i="12"/>
  <c r="J56" i="12"/>
  <c r="AN29" i="12"/>
  <c r="J59" i="12"/>
  <c r="AX56" i="12"/>
  <c r="AD58" i="12"/>
  <c r="F56" i="12"/>
  <c r="S56" i="12"/>
  <c r="BG57" i="12"/>
  <c r="K58" i="12"/>
  <c r="BF58" i="12"/>
  <c r="I59" i="12"/>
  <c r="K27" i="12"/>
  <c r="AE29" i="12"/>
  <c r="AO27" i="12"/>
  <c r="AY27" i="12"/>
  <c r="BI29" i="12"/>
  <c r="U26" i="12"/>
  <c r="AO28" i="12"/>
  <c r="BI26" i="12"/>
  <c r="K56" i="12"/>
  <c r="AE26" i="12"/>
  <c r="AO29" i="12"/>
  <c r="AO26" i="12"/>
  <c r="AO63" i="12" s="1"/>
  <c r="AY29" i="12"/>
  <c r="U56" i="12"/>
  <c r="AG56" i="12"/>
  <c r="F57" i="12"/>
  <c r="Q57" i="12"/>
  <c r="AO57" i="12"/>
  <c r="N58" i="12"/>
  <c r="Z58" i="12"/>
  <c r="AO58" i="12"/>
  <c r="BG58" i="12"/>
  <c r="K59" i="12"/>
  <c r="AL59" i="12"/>
  <c r="BE58" i="12"/>
  <c r="AP29" i="12"/>
  <c r="AZ27" i="12"/>
  <c r="AQ29" i="12"/>
  <c r="BI58" i="12"/>
  <c r="L28" i="12"/>
  <c r="BF59" i="12"/>
  <c r="M28" i="12"/>
  <c r="AQ28" i="12"/>
  <c r="AM56" i="12"/>
  <c r="AE57" i="12"/>
  <c r="AH29" i="12"/>
  <c r="D29" i="12"/>
  <c r="N29" i="12"/>
  <c r="X29" i="12"/>
  <c r="AR29" i="12"/>
  <c r="BB29" i="12"/>
  <c r="AH59" i="12"/>
  <c r="AE28" i="12"/>
  <c r="C58" i="12"/>
  <c r="Q58" i="12"/>
  <c r="AC58" i="12"/>
  <c r="AO59" i="12"/>
  <c r="L27" i="12"/>
  <c r="N59" i="12"/>
  <c r="AG29" i="12"/>
  <c r="W28" i="12"/>
  <c r="BA57" i="12"/>
  <c r="AQ58" i="12"/>
  <c r="AS58" i="12"/>
  <c r="AI59" i="12"/>
  <c r="Y56" i="12"/>
  <c r="AY57" i="12"/>
  <c r="E58" i="12"/>
  <c r="R58" i="12"/>
  <c r="AZ26" i="12"/>
  <c r="AF27" i="12"/>
  <c r="C28" i="12"/>
  <c r="W29" i="12"/>
  <c r="M58" i="12"/>
  <c r="W56" i="12"/>
  <c r="AT26" i="12"/>
  <c r="F26" i="12"/>
  <c r="Z26" i="12"/>
  <c r="Z63" i="12" s="1"/>
  <c r="BD26" i="12"/>
  <c r="P26" i="12"/>
  <c r="AT56" i="12"/>
  <c r="AP59" i="12"/>
  <c r="AS57" i="12"/>
  <c r="AS56" i="12"/>
  <c r="AZ28" i="12"/>
  <c r="AZ29" i="12"/>
  <c r="AK56" i="12"/>
  <c r="AD57" i="12"/>
  <c r="AD56" i="12"/>
  <c r="Y58" i="12"/>
  <c r="Y59" i="12"/>
  <c r="AJ26" i="12"/>
  <c r="AB28" i="12"/>
  <c r="AB27" i="12"/>
  <c r="T28" i="12"/>
  <c r="J58" i="12"/>
  <c r="BA59" i="12"/>
  <c r="BA58" i="12"/>
  <c r="BA56" i="12"/>
  <c r="AX58" i="12"/>
  <c r="AX59" i="12"/>
  <c r="AX57" i="12"/>
  <c r="AK57" i="12"/>
  <c r="AK58" i="12"/>
  <c r="AI56" i="12"/>
  <c r="AI58" i="12"/>
  <c r="AH58" i="12"/>
  <c r="AH56" i="12"/>
  <c r="W26" i="12"/>
  <c r="AQ26" i="12"/>
  <c r="AQ63" i="12" s="1"/>
  <c r="F29" i="12"/>
  <c r="P29" i="12"/>
  <c r="H29" i="12"/>
  <c r="AL29" i="12"/>
  <c r="AW58" i="12"/>
  <c r="AW56" i="12"/>
  <c r="AU58" i="12"/>
  <c r="AU59" i="12"/>
  <c r="AT57" i="12"/>
  <c r="AT59" i="12"/>
  <c r="M59" i="12"/>
  <c r="BG26" i="12"/>
  <c r="AN27" i="12"/>
  <c r="AX26" i="12"/>
  <c r="BI28" i="12"/>
  <c r="AD28" i="12"/>
  <c r="AM27" i="12"/>
  <c r="AP26" i="12"/>
  <c r="AP63" i="12" s="1"/>
  <c r="AR27" i="12"/>
  <c r="Y28" i="12"/>
  <c r="AS28" i="12"/>
  <c r="BI27" i="12"/>
  <c r="BG28" i="12"/>
  <c r="BE27" i="12"/>
  <c r="AY26" i="12"/>
  <c r="AY63" i="12" s="1"/>
  <c r="BA26" i="12"/>
  <c r="BA28" i="12"/>
  <c r="BB27" i="12"/>
  <c r="AX27" i="12"/>
  <c r="BC28" i="12"/>
  <c r="BH26" i="12"/>
  <c r="BD29" i="12"/>
  <c r="BE29" i="12"/>
  <c r="BF26" i="12"/>
  <c r="BF63" i="12" s="1"/>
  <c r="BF29" i="12"/>
  <c r="BH27" i="12"/>
  <c r="AV27" i="12"/>
  <c r="AV29" i="12"/>
  <c r="AC29" i="12"/>
  <c r="AC28" i="12"/>
  <c r="AC27" i="12"/>
  <c r="AC64" i="12" s="1"/>
  <c r="AC65" i="12" s="1"/>
  <c r="X27" i="12"/>
  <c r="V29" i="12"/>
  <c r="AA27" i="12"/>
  <c r="Z29" i="12"/>
  <c r="V28" i="12"/>
  <c r="V27" i="12"/>
  <c r="AA29" i="12"/>
  <c r="AB29" i="12"/>
  <c r="AG28" i="12"/>
  <c r="AG26" i="12"/>
  <c r="AG63" i="12" s="1"/>
  <c r="AH27" i="12"/>
  <c r="AL27" i="12"/>
  <c r="AI28" i="12"/>
  <c r="AK27" i="12"/>
  <c r="AJ29" i="12"/>
  <c r="AK29" i="12"/>
  <c r="AD27" i="12"/>
  <c r="AM26" i="12"/>
  <c r="S28" i="12"/>
  <c r="T29" i="12"/>
  <c r="M26" i="12"/>
  <c r="S29" i="12"/>
  <c r="N27" i="12"/>
  <c r="O28" i="12"/>
  <c r="T26" i="12"/>
  <c r="Q29" i="12"/>
  <c r="T27" i="12"/>
  <c r="S26" i="12"/>
  <c r="R29" i="12"/>
  <c r="Q26" i="12"/>
  <c r="I29" i="12"/>
  <c r="E28" i="12"/>
  <c r="I26" i="12"/>
  <c r="I63" i="12" s="1"/>
  <c r="I28" i="12"/>
  <c r="D27" i="12"/>
  <c r="C26" i="12"/>
  <c r="C63" i="12" s="1"/>
  <c r="G29" i="12"/>
  <c r="C29" i="12"/>
  <c r="G26" i="12"/>
  <c r="AW29" i="12"/>
  <c r="AW28" i="12"/>
  <c r="AW27" i="12"/>
  <c r="AU27" i="12"/>
  <c r="AU29" i="12"/>
  <c r="AT29" i="12"/>
  <c r="M29" i="12"/>
  <c r="L29" i="12"/>
  <c r="L26" i="12"/>
  <c r="K29" i="12"/>
  <c r="K28" i="12"/>
  <c r="K26" i="12"/>
  <c r="J28" i="12"/>
  <c r="J26" i="12"/>
  <c r="J29" i="12"/>
  <c r="B26" i="12"/>
  <c r="B27" i="12"/>
  <c r="B28" i="12"/>
  <c r="BE59" i="12"/>
  <c r="BE56" i="12"/>
  <c r="BE57" i="12"/>
  <c r="BC56" i="12"/>
  <c r="BC57" i="12"/>
  <c r="BC58" i="12"/>
  <c r="BC29" i="12"/>
  <c r="AS29" i="12"/>
  <c r="AI29" i="12"/>
  <c r="Y29" i="12"/>
  <c r="O29" i="12"/>
  <c r="E29" i="12"/>
  <c r="BB28" i="12"/>
  <c r="AR28" i="12"/>
  <c r="AH28" i="12"/>
  <c r="X28" i="12"/>
  <c r="N28" i="12"/>
  <c r="D28" i="12"/>
  <c r="BA27" i="12"/>
  <c r="AQ27" i="12"/>
  <c r="AG27" i="12"/>
  <c r="W27" i="12"/>
  <c r="M27" i="12"/>
  <c r="C27" i="12"/>
  <c r="AL26" i="12"/>
  <c r="AL63" i="12" s="1"/>
  <c r="AB26" i="12"/>
  <c r="R26" i="12"/>
  <c r="H26" i="12"/>
  <c r="BE28" i="12"/>
  <c r="AU28" i="12"/>
  <c r="AK28" i="12"/>
  <c r="AA28" i="12"/>
  <c r="Q28" i="12"/>
  <c r="G28" i="12"/>
  <c r="BD27" i="12"/>
  <c r="AT27" i="12"/>
  <c r="AJ27" i="12"/>
  <c r="Z27" i="12"/>
  <c r="P27" i="12"/>
  <c r="F27" i="12"/>
  <c r="BC26" i="12"/>
  <c r="BC63" i="12" s="1"/>
  <c r="AS26" i="12"/>
  <c r="AS63" i="12" s="1"/>
  <c r="AI26" i="12"/>
  <c r="AI63" i="12" s="1"/>
  <c r="Y26" i="12"/>
  <c r="O26" i="12"/>
  <c r="E26" i="12"/>
  <c r="E63" i="12" s="1"/>
  <c r="BD28" i="12"/>
  <c r="AT28" i="12"/>
  <c r="AJ28" i="12"/>
  <c r="Z28" i="12"/>
  <c r="P28" i="12"/>
  <c r="F28" i="12"/>
  <c r="BC27" i="12"/>
  <c r="AS27" i="12"/>
  <c r="AI27" i="12"/>
  <c r="Y27" i="12"/>
  <c r="O27" i="12"/>
  <c r="E27" i="12"/>
  <c r="BB26" i="12"/>
  <c r="BB63" i="12" s="1"/>
  <c r="AR26" i="12"/>
  <c r="AH26" i="12"/>
  <c r="AH63" i="12" s="1"/>
  <c r="X26" i="12"/>
  <c r="N26" i="12"/>
  <c r="N63" i="12" s="1"/>
  <c r="D26" i="12"/>
  <c r="U63" i="12" l="1"/>
  <c r="K63" i="12"/>
  <c r="M63" i="12"/>
  <c r="W64" i="12"/>
  <c r="G63" i="12"/>
  <c r="AM63" i="12"/>
  <c r="M64" i="12"/>
  <c r="M65" i="12" s="1"/>
  <c r="AK63" i="12"/>
  <c r="BC64" i="12"/>
  <c r="BA63" i="12"/>
  <c r="BE63" i="12"/>
  <c r="B63" i="12"/>
  <c r="AD63" i="12"/>
  <c r="AA63" i="12"/>
  <c r="AE64" i="12"/>
  <c r="AE63" i="12"/>
  <c r="AW63" i="12"/>
  <c r="J63" i="12"/>
  <c r="AW64" i="12"/>
  <c r="AX63" i="12"/>
  <c r="W63" i="12"/>
  <c r="W65" i="12" s="1"/>
  <c r="AU63" i="12"/>
  <c r="R63" i="12"/>
  <c r="F63" i="12"/>
  <c r="BI63" i="12"/>
  <c r="Q63" i="12"/>
  <c r="AT63" i="12"/>
  <c r="AP64" i="12"/>
  <c r="AP65" i="12" s="1"/>
  <c r="AH64" i="12"/>
  <c r="AH65" i="12" s="1"/>
  <c r="O64" i="12"/>
  <c r="BI64" i="12"/>
  <c r="BI65" i="12" s="1"/>
  <c r="AX64" i="12"/>
  <c r="AX65" i="12" s="1"/>
  <c r="BA64" i="12"/>
  <c r="BA65" i="12" s="1"/>
  <c r="AD64" i="12"/>
  <c r="E64" i="12"/>
  <c r="E65" i="12" s="1"/>
  <c r="Y63" i="12"/>
  <c r="J64" i="12"/>
  <c r="AU64" i="12"/>
  <c r="AU65" i="12" s="1"/>
  <c r="O63" i="12"/>
  <c r="O65" i="12" s="1"/>
  <c r="AY64" i="12"/>
  <c r="AY65" i="12" s="1"/>
  <c r="I64" i="12"/>
  <c r="I65" i="12" s="1"/>
  <c r="BB64" i="12"/>
  <c r="BB65" i="12" s="1"/>
  <c r="AO64" i="12"/>
  <c r="AO65" i="12" s="1"/>
  <c r="Z64" i="12"/>
  <c r="Z65" i="12" s="1"/>
  <c r="V64" i="12"/>
  <c r="V65" i="12" s="1"/>
  <c r="AM64" i="12"/>
  <c r="Y64" i="12"/>
  <c r="Y65" i="12" s="1"/>
  <c r="BF64" i="12"/>
  <c r="BF65" i="12" s="1"/>
  <c r="BG63" i="12"/>
  <c r="BC65" i="12"/>
  <c r="AG64" i="12"/>
  <c r="AG65" i="12" s="1"/>
  <c r="F64" i="12"/>
  <c r="U64" i="12"/>
  <c r="U65" i="12" s="1"/>
  <c r="Q64" i="12"/>
  <c r="AT64" i="12"/>
  <c r="N64" i="12"/>
  <c r="N65" i="12" s="1"/>
  <c r="AK64" i="12"/>
  <c r="AK65" i="12" s="1"/>
  <c r="G64" i="12"/>
  <c r="G65" i="12" s="1"/>
  <c r="AA64" i="12"/>
  <c r="AA65" i="12" s="1"/>
  <c r="BE64" i="12"/>
  <c r="BE65" i="12" s="1"/>
  <c r="R64" i="12"/>
  <c r="B64" i="12"/>
  <c r="B65" i="12" s="1"/>
  <c r="AI64" i="12"/>
  <c r="AI65" i="12" s="1"/>
  <c r="AS64" i="12"/>
  <c r="AS65" i="12" s="1"/>
  <c r="C64" i="12"/>
  <c r="C65" i="12" s="1"/>
  <c r="AL64" i="12"/>
  <c r="AL65" i="12" s="1"/>
  <c r="BG64" i="12"/>
  <c r="S63" i="12"/>
  <c r="S64" i="12"/>
  <c r="K64" i="12"/>
  <c r="K65" i="12" s="1"/>
  <c r="AQ64" i="12"/>
  <c r="AQ65" i="12" s="1"/>
  <c r="AB9" i="8"/>
  <c r="X18" i="8"/>
  <c r="AN47" i="12" s="1"/>
  <c r="X6" i="8"/>
  <c r="AB17" i="8"/>
  <c r="AZ47" i="12" s="1"/>
  <c r="X17" i="8"/>
  <c r="AJ47" i="12" s="1"/>
  <c r="AB16" i="8"/>
  <c r="BD47" i="12" s="1"/>
  <c r="X16" i="8"/>
  <c r="AF47" i="12" s="1"/>
  <c r="AB15" i="8"/>
  <c r="BH47" i="12" s="1"/>
  <c r="X12" i="8"/>
  <c r="T47" i="12" s="1"/>
  <c r="AB11" i="8"/>
  <c r="AR47" i="12" s="1"/>
  <c r="X11" i="8"/>
  <c r="P47" i="12" s="1"/>
  <c r="AB10" i="8"/>
  <c r="AV47" i="12" s="1"/>
  <c r="X10" i="8"/>
  <c r="L47" i="12" s="1"/>
  <c r="AB5" i="8"/>
  <c r="X47" i="12" s="1"/>
  <c r="X5" i="8"/>
  <c r="H47" i="12" s="1"/>
  <c r="AB4" i="8"/>
  <c r="AB47" i="12" s="1"/>
  <c r="X4" i="8"/>
  <c r="D47" i="12" s="1"/>
  <c r="AB3" i="8"/>
  <c r="S65" i="12" l="1"/>
  <c r="R65" i="12"/>
  <c r="P57" i="12"/>
  <c r="P58" i="12"/>
  <c r="P56" i="12"/>
  <c r="P63" i="12" s="1"/>
  <c r="P59" i="12"/>
  <c r="AV56" i="12"/>
  <c r="AV63" i="12" s="1"/>
  <c r="AV58" i="12"/>
  <c r="AV57" i="12"/>
  <c r="AV64" i="12" s="1"/>
  <c r="AV65" i="12" s="1"/>
  <c r="AV59" i="12"/>
  <c r="AR59" i="12"/>
  <c r="AR57" i="12"/>
  <c r="AR64" i="12" s="1"/>
  <c r="AR65" i="12" s="1"/>
  <c r="AR56" i="12"/>
  <c r="AR63" i="12" s="1"/>
  <c r="AR58" i="12"/>
  <c r="AT65" i="12"/>
  <c r="AN59" i="12"/>
  <c r="AN56" i="12"/>
  <c r="AN63" i="12" s="1"/>
  <c r="AN57" i="12"/>
  <c r="AN58" i="12"/>
  <c r="T59" i="12"/>
  <c r="T58" i="12"/>
  <c r="T56" i="12"/>
  <c r="T63" i="12" s="1"/>
  <c r="T57" i="12"/>
  <c r="AF57" i="12"/>
  <c r="AF56" i="12"/>
  <c r="AF63" i="12" s="1"/>
  <c r="AF58" i="12"/>
  <c r="AF59" i="12"/>
  <c r="AM65" i="12"/>
  <c r="BH57" i="12"/>
  <c r="BH56" i="12"/>
  <c r="BH63" i="12" s="1"/>
  <c r="BH58" i="12"/>
  <c r="BH59" i="12"/>
  <c r="D59" i="12"/>
  <c r="D56" i="12"/>
  <c r="D63" i="12" s="1"/>
  <c r="D57" i="12"/>
  <c r="D58" i="12"/>
  <c r="AB57" i="12"/>
  <c r="AB59" i="12"/>
  <c r="AB58" i="12"/>
  <c r="AB56" i="12"/>
  <c r="AB63" i="12" s="1"/>
  <c r="BD58" i="12"/>
  <c r="BD57" i="12"/>
  <c r="BD64" i="12" s="1"/>
  <c r="BD65" i="12" s="1"/>
  <c r="BD56" i="12"/>
  <c r="BD63" i="12" s="1"/>
  <c r="BD59" i="12"/>
  <c r="H56" i="12"/>
  <c r="H63" i="12" s="1"/>
  <c r="H59" i="12"/>
  <c r="H58" i="12"/>
  <c r="H57" i="12"/>
  <c r="H64" i="12" s="1"/>
  <c r="H65" i="12" s="1"/>
  <c r="AJ59" i="12"/>
  <c r="AJ58" i="12"/>
  <c r="AJ56" i="12"/>
  <c r="AJ63" i="12" s="1"/>
  <c r="AJ57" i="12"/>
  <c r="AJ64" i="12" s="1"/>
  <c r="AJ65" i="12" s="1"/>
  <c r="J65" i="12"/>
  <c r="AZ59" i="12"/>
  <c r="AZ57" i="12"/>
  <c r="AZ58" i="12"/>
  <c r="AZ56" i="12"/>
  <c r="AZ63" i="12" s="1"/>
  <c r="L59" i="12"/>
  <c r="L58" i="12"/>
  <c r="L57" i="12"/>
  <c r="L56" i="12"/>
  <c r="L63" i="12" s="1"/>
  <c r="Q65" i="12"/>
  <c r="AE65" i="12"/>
  <c r="F65" i="12"/>
  <c r="AW65" i="12"/>
  <c r="AD65" i="12"/>
  <c r="BG65" i="12"/>
  <c r="X58" i="12"/>
  <c r="X59" i="12"/>
  <c r="X56" i="12"/>
  <c r="X63" i="12" s="1"/>
  <c r="X57" i="12"/>
  <c r="L64" i="12" l="1"/>
  <c r="L65" i="12" s="1"/>
  <c r="AN64" i="12"/>
  <c r="AN65" i="12" s="1"/>
  <c r="BH64" i="12"/>
  <c r="BH65" i="12" s="1"/>
  <c r="AB64" i="12"/>
  <c r="AB65" i="12" s="1"/>
  <c r="D64" i="12"/>
  <c r="D65" i="12" s="1"/>
  <c r="AF64" i="12"/>
  <c r="AF65" i="12" s="1"/>
  <c r="AZ64" i="12"/>
  <c r="AZ65" i="12" s="1"/>
  <c r="T64" i="12"/>
  <c r="T65" i="12" s="1"/>
  <c r="P64" i="12"/>
  <c r="P65" i="12" s="1"/>
  <c r="X64" i="12"/>
  <c r="X6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3" authorId="0" shapeId="0" xr:uid="{00000000-0006-0000-0900-000001000000}">
      <text>
        <r>
          <rPr>
            <sz val="10"/>
            <color rgb="FF000000"/>
            <rFont val="Arial"/>
            <family val="2"/>
            <scheme val="minor"/>
          </rPr>
          <t>maybe planted with extra seeds?
	-Katherine Dami
_Marked as resolved_
	-Marcus Ammerlaan
_Re-opened_
that's what I would guess. Sometimes with alfalfa, a split stem gets counted as two plants. That doesn't seem likely for tomato
	-Marcus Ammerlaan</t>
        </r>
      </text>
    </comment>
  </commentList>
</comments>
</file>

<file path=xl/sharedStrings.xml><?xml version="1.0" encoding="utf-8"?>
<sst xmlns="http://schemas.openxmlformats.org/spreadsheetml/2006/main" count="2382" uniqueCount="110">
  <si>
    <t>Room 2114</t>
  </si>
  <si>
    <t>|</t>
  </si>
  <si>
    <t>Room 2122</t>
  </si>
  <si>
    <t>Room 2115</t>
  </si>
  <si>
    <t>Room 2123</t>
  </si>
  <si>
    <t>Pot</t>
  </si>
  <si>
    <t># oat</t>
  </si>
  <si>
    <t>avg length
(mm)</t>
  </si>
  <si>
    <t>avg weight
(mg)</t>
  </si>
  <si>
    <t>tot weight
(g)</t>
  </si>
  <si>
    <t># tom</t>
  </si>
  <si>
    <t>------/30 tom</t>
  </si>
  <si>
    <t>10 oat/20 tom</t>
  </si>
  <si>
    <t>20 oat/10 tom</t>
  </si>
  <si>
    <t>30 oat/------</t>
  </si>
  <si>
    <t># alf</t>
  </si>
  <si>
    <t>------/30 alf</t>
  </si>
  <si>
    <t>10 oat/20 alf</t>
  </si>
  <si>
    <t>20 oat/10 alf</t>
  </si>
  <si>
    <t>------ /30 alf</t>
  </si>
  <si>
    <t>10 tom /20 alf</t>
  </si>
  <si>
    <t>20 tom /10 alf</t>
  </si>
  <si>
    <t>30 tom /------</t>
  </si>
  <si>
    <t>note- data for each monoculture pot must be entered in two places above</t>
  </si>
  <si>
    <t>** one group potted 10 T / 20 A instead of 10 O/ 20 A -- so 10 T/20 A was duplicated</t>
  </si>
  <si>
    <t>section</t>
  </si>
  <si>
    <t>10O/20A</t>
  </si>
  <si>
    <t>10O/20T</t>
  </si>
  <si>
    <t>20O/10T</t>
  </si>
  <si>
    <t>n</t>
  </si>
  <si>
    <t>avg L</t>
  </si>
  <si>
    <t>avg W</t>
  </si>
  <si>
    <t>tot W</t>
  </si>
  <si>
    <t>20O/10A</t>
  </si>
  <si>
    <t>30O</t>
  </si>
  <si>
    <t>10T/20O</t>
  </si>
  <si>
    <t>20T/10O</t>
  </si>
  <si>
    <t>10T/20A</t>
  </si>
  <si>
    <t>20T/10A</t>
  </si>
  <si>
    <t>30T</t>
  </si>
  <si>
    <t>10A/20T</t>
  </si>
  <si>
    <t>20A/10T</t>
  </si>
  <si>
    <t>10A/20O</t>
  </si>
  <si>
    <t>20A/10O</t>
  </si>
  <si>
    <t>30A</t>
  </si>
  <si>
    <t>M2-5 2114</t>
  </si>
  <si>
    <t>M2-5 2122</t>
  </si>
  <si>
    <t>M2-5 2115</t>
  </si>
  <si>
    <t>M2-5 2123</t>
  </si>
  <si>
    <t>M7-10 2114</t>
  </si>
  <si>
    <t>M7-10 2122</t>
  </si>
  <si>
    <t>M7-10 2115</t>
  </si>
  <si>
    <t>M7-10 2123</t>
  </si>
  <si>
    <t>T9-12 2114</t>
  </si>
  <si>
    <t>T9-12 2122</t>
  </si>
  <si>
    <t>T9-12 2115</t>
  </si>
  <si>
    <t>T9-12 2123</t>
  </si>
  <si>
    <t>T2-5 2114</t>
  </si>
  <si>
    <t>T2-5 2122</t>
  </si>
  <si>
    <t>T2-5 2115</t>
  </si>
  <si>
    <t>T2-5 2123</t>
  </si>
  <si>
    <t>T7-10 2114</t>
  </si>
  <si>
    <t>T7-10 2122</t>
  </si>
  <si>
    <t>T7-10 2115</t>
  </si>
  <si>
    <t>T7-10 2123</t>
  </si>
  <si>
    <t>W9-12 2114</t>
  </si>
  <si>
    <t>W9-12 2122</t>
  </si>
  <si>
    <t>W9-12 2115</t>
  </si>
  <si>
    <t>W9-12 2123</t>
  </si>
  <si>
    <t>W2-5 2114</t>
  </si>
  <si>
    <t>W2-5 2122</t>
  </si>
  <si>
    <t>W2-5 2115</t>
  </si>
  <si>
    <t>W2-5 2123</t>
  </si>
  <si>
    <t>W7-10 2114</t>
  </si>
  <si>
    <t>W7-10 2122</t>
  </si>
  <si>
    <t>W7-10 2115</t>
  </si>
  <si>
    <t>W7-10 2123</t>
  </si>
  <si>
    <t>Th9-12 2114</t>
  </si>
  <si>
    <t>Th9-12 2122</t>
  </si>
  <si>
    <t>Th9-12 2115</t>
  </si>
  <si>
    <t>Th9-12 2123</t>
  </si>
  <si>
    <t>Th2-5 2114</t>
  </si>
  <si>
    <t>Th2-5 2122</t>
  </si>
  <si>
    <t>Th2-5 2115</t>
  </si>
  <si>
    <t>Th2-5 2123</t>
  </si>
  <si>
    <t>Th7-10 2114</t>
  </si>
  <si>
    <t>Th7-10 2122</t>
  </si>
  <si>
    <t>Th7-10 2115</t>
  </si>
  <si>
    <t>Th7-10 2123</t>
  </si>
  <si>
    <t>replicates</t>
  </si>
  <si>
    <t>mean</t>
  </si>
  <si>
    <t>variance</t>
  </si>
  <si>
    <t>std dev</t>
  </si>
  <si>
    <t>na</t>
  </si>
  <si>
    <t>no fertilizer</t>
  </si>
  <si>
    <t>+ fertilizer</t>
  </si>
  <si>
    <t>no fert vs. fert</t>
  </si>
  <si>
    <t>df</t>
  </si>
  <si>
    <t>t</t>
  </si>
  <si>
    <t>p</t>
  </si>
  <si>
    <t>pot</t>
  </si>
  <si>
    <t>oats</t>
  </si>
  <si>
    <t>tom</t>
  </si>
  <si>
    <t>plants</t>
  </si>
  <si>
    <t>tomato</t>
  </si>
  <si>
    <t>LENGTH</t>
  </si>
  <si>
    <t>WEIGHT</t>
  </si>
  <si>
    <t>YIELD</t>
  </si>
  <si>
    <t>alfalfa</t>
  </si>
  <si>
    <t>tomatoes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</si>
</sst>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Docs-Calibri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6C70"/>
        <bgColor rgb="FFFF6C7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slantDashDot">
        <color auto="1"/>
      </bottom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 style="hair">
        <color auto="1"/>
      </right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hair">
        <color auto="1"/>
      </right>
      <top style="slantDashDot">
        <color auto="1"/>
      </top>
      <bottom/>
      <diagonal/>
    </border>
    <border>
      <left style="hair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vertical="top"/>
    </xf>
    <xf numFmtId="0" fontId="3" fillId="2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 wrapText="1"/>
    </xf>
    <xf numFmtId="0" fontId="3" fillId="0" borderId="2" xfId="0" quotePrefix="1" applyFont="1" applyBorder="1" applyAlignment="1">
      <alignment vertical="top"/>
    </xf>
    <xf numFmtId="0" fontId="1" fillId="2" borderId="3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right" vertical="top"/>
    </xf>
    <xf numFmtId="0" fontId="4" fillId="3" borderId="3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3" fillId="4" borderId="3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right" vertical="top"/>
    </xf>
    <xf numFmtId="0" fontId="3" fillId="0" borderId="0" xfId="0" applyFont="1" applyAlignment="1">
      <alignment vertical="top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5" borderId="4" xfId="0" applyFont="1" applyFill="1" applyBorder="1"/>
    <xf numFmtId="0" fontId="4" fillId="2" borderId="5" xfId="0" applyFont="1" applyFill="1" applyBorder="1" applyAlignment="1">
      <alignment horizontal="right" vertical="top"/>
    </xf>
    <xf numFmtId="0" fontId="4" fillId="2" borderId="6" xfId="0" applyFont="1" applyFill="1" applyBorder="1" applyAlignment="1">
      <alignment horizontal="right" vertical="top"/>
    </xf>
    <xf numFmtId="0" fontId="5" fillId="2" borderId="5" xfId="0" applyFont="1" applyFill="1" applyBorder="1" applyAlignment="1">
      <alignment horizontal="right" vertical="top"/>
    </xf>
    <xf numFmtId="0" fontId="5" fillId="2" borderId="6" xfId="0" applyFont="1" applyFill="1" applyBorder="1" applyAlignment="1">
      <alignment horizontal="right" vertical="top"/>
    </xf>
    <xf numFmtId="0" fontId="5" fillId="4" borderId="6" xfId="0" applyFont="1" applyFill="1" applyBorder="1" applyAlignment="1">
      <alignment horizontal="right" vertical="top"/>
    </xf>
    <xf numFmtId="0" fontId="4" fillId="3" borderId="5" xfId="0" applyFont="1" applyFill="1" applyBorder="1" applyAlignment="1">
      <alignment horizontal="right" vertical="top"/>
    </xf>
    <xf numFmtId="0" fontId="4" fillId="3" borderId="6" xfId="0" applyFont="1" applyFill="1" applyBorder="1" applyAlignment="1">
      <alignment horizontal="right" vertical="top"/>
    </xf>
    <xf numFmtId="0" fontId="4" fillId="4" borderId="6" xfId="0" applyFont="1" applyFill="1" applyBorder="1" applyAlignment="1">
      <alignment horizontal="right" vertical="top"/>
    </xf>
    <xf numFmtId="0" fontId="6" fillId="0" borderId="0" xfId="0" applyFont="1"/>
    <xf numFmtId="0" fontId="7" fillId="4" borderId="0" xfId="0" applyFont="1" applyFill="1" applyAlignment="1">
      <alignment horizontal="right"/>
    </xf>
    <xf numFmtId="0" fontId="1" fillId="4" borderId="3" xfId="0" applyFont="1" applyFill="1" applyBorder="1" applyAlignment="1">
      <alignment horizontal="right" vertical="top"/>
    </xf>
    <xf numFmtId="0" fontId="8" fillId="0" borderId="0" xfId="0" applyFont="1"/>
    <xf numFmtId="1" fontId="0" fillId="7" borderId="7" xfId="0" applyNumberFormat="1" applyFill="1" applyBorder="1"/>
    <xf numFmtId="1" fontId="0" fillId="7" borderId="4" xfId="0" applyNumberFormat="1" applyFill="1" applyBorder="1"/>
    <xf numFmtId="1" fontId="0" fillId="7" borderId="10" xfId="0" applyNumberFormat="1" applyFill="1" applyBorder="1"/>
    <xf numFmtId="1" fontId="0" fillId="8" borderId="4" xfId="0" applyNumberFormat="1" applyFill="1" applyBorder="1"/>
    <xf numFmtId="1" fontId="0" fillId="8" borderId="7" xfId="0" applyNumberFormat="1" applyFill="1" applyBorder="1"/>
    <xf numFmtId="1" fontId="0" fillId="8" borderId="10" xfId="0" applyNumberFormat="1" applyFill="1" applyBorder="1"/>
    <xf numFmtId="1" fontId="0" fillId="6" borderId="4" xfId="0" applyNumberFormat="1" applyFill="1" applyBorder="1"/>
    <xf numFmtId="1" fontId="0" fillId="6" borderId="7" xfId="0" applyNumberFormat="1" applyFill="1" applyBorder="1"/>
    <xf numFmtId="1" fontId="0" fillId="6" borderId="10" xfId="0" applyNumberFormat="1" applyFill="1" applyBorder="1"/>
    <xf numFmtId="2" fontId="0" fillId="6" borderId="8" xfId="0" applyNumberFormat="1" applyFill="1" applyBorder="1"/>
    <xf numFmtId="2" fontId="0" fillId="6" borderId="9" xfId="0" applyNumberFormat="1" applyFill="1" applyBorder="1"/>
    <xf numFmtId="2" fontId="0" fillId="8" borderId="8" xfId="0" applyNumberFormat="1" applyFill="1" applyBorder="1"/>
    <xf numFmtId="2" fontId="0" fillId="8" borderId="4" xfId="0" applyNumberFormat="1" applyFill="1" applyBorder="1"/>
    <xf numFmtId="2" fontId="0" fillId="8" borderId="9" xfId="0" applyNumberFormat="1" applyFill="1" applyBorder="1"/>
    <xf numFmtId="2" fontId="0" fillId="7" borderId="8" xfId="0" applyNumberFormat="1" applyFill="1" applyBorder="1"/>
    <xf numFmtId="2" fontId="0" fillId="7" borderId="4" xfId="0" applyNumberFormat="1" applyFill="1" applyBorder="1"/>
    <xf numFmtId="2" fontId="0" fillId="7" borderId="9" xfId="0" applyNumberFormat="1" applyFill="1" applyBorder="1"/>
    <xf numFmtId="0" fontId="8" fillId="9" borderId="0" xfId="0" applyFont="1" applyFill="1"/>
    <xf numFmtId="0" fontId="8" fillId="10" borderId="0" xfId="0" applyFont="1" applyFill="1"/>
    <xf numFmtId="1" fontId="8" fillId="7" borderId="7" xfId="0" applyNumberFormat="1" applyFont="1" applyFill="1" applyBorder="1"/>
    <xf numFmtId="1" fontId="8" fillId="7" borderId="4" xfId="0" applyNumberFormat="1" applyFont="1" applyFill="1" applyBorder="1"/>
    <xf numFmtId="2" fontId="8" fillId="7" borderId="9" xfId="0" applyNumberFormat="1" applyFont="1" applyFill="1" applyBorder="1"/>
    <xf numFmtId="2" fontId="8" fillId="7" borderId="8" xfId="0" applyNumberFormat="1" applyFont="1" applyFill="1" applyBorder="1"/>
    <xf numFmtId="1" fontId="8" fillId="8" borderId="7" xfId="0" applyNumberFormat="1" applyFont="1" applyFill="1" applyBorder="1"/>
    <xf numFmtId="1" fontId="8" fillId="8" borderId="4" xfId="0" applyNumberFormat="1" applyFont="1" applyFill="1" applyBorder="1"/>
    <xf numFmtId="2" fontId="8" fillId="8" borderId="9" xfId="0" applyNumberFormat="1" applyFont="1" applyFill="1" applyBorder="1"/>
    <xf numFmtId="2" fontId="8" fillId="8" borderId="8" xfId="0" applyNumberFormat="1" applyFont="1" applyFill="1" applyBorder="1"/>
    <xf numFmtId="1" fontId="8" fillId="6" borderId="7" xfId="0" applyNumberFormat="1" applyFont="1" applyFill="1" applyBorder="1"/>
    <xf numFmtId="1" fontId="8" fillId="6" borderId="4" xfId="0" applyNumberFormat="1" applyFont="1" applyFill="1" applyBorder="1"/>
    <xf numFmtId="2" fontId="8" fillId="6" borderId="9" xfId="0" applyNumberFormat="1" applyFont="1" applyFill="1" applyBorder="1"/>
    <xf numFmtId="2" fontId="8" fillId="6" borderId="8" xfId="0" applyNumberFormat="1" applyFont="1" applyFill="1" applyBorder="1"/>
    <xf numFmtId="0" fontId="8" fillId="0" borderId="11" xfId="0" applyFont="1" applyBorder="1"/>
    <xf numFmtId="1" fontId="8" fillId="7" borderId="12" xfId="0" applyNumberFormat="1" applyFont="1" applyFill="1" applyBorder="1"/>
    <xf numFmtId="1" fontId="8" fillId="7" borderId="11" xfId="0" applyNumberFormat="1" applyFont="1" applyFill="1" applyBorder="1"/>
    <xf numFmtId="2" fontId="8" fillId="7" borderId="13" xfId="0" applyNumberFormat="1" applyFont="1" applyFill="1" applyBorder="1"/>
    <xf numFmtId="2" fontId="8" fillId="7" borderId="14" xfId="0" applyNumberFormat="1" applyFont="1" applyFill="1" applyBorder="1"/>
    <xf numFmtId="1" fontId="8" fillId="8" borderId="12" xfId="0" applyNumberFormat="1" applyFont="1" applyFill="1" applyBorder="1"/>
    <xf numFmtId="1" fontId="8" fillId="8" borderId="11" xfId="0" applyNumberFormat="1" applyFont="1" applyFill="1" applyBorder="1"/>
    <xf numFmtId="2" fontId="8" fillId="8" borderId="13" xfId="0" applyNumberFormat="1" applyFont="1" applyFill="1" applyBorder="1"/>
    <xf numFmtId="2" fontId="8" fillId="8" borderId="14" xfId="0" applyNumberFormat="1" applyFont="1" applyFill="1" applyBorder="1"/>
    <xf numFmtId="1" fontId="8" fillId="6" borderId="12" xfId="0" applyNumberFormat="1" applyFont="1" applyFill="1" applyBorder="1"/>
    <xf numFmtId="1" fontId="8" fillId="6" borderId="11" xfId="0" applyNumberFormat="1" applyFont="1" applyFill="1" applyBorder="1"/>
    <xf numFmtId="2" fontId="8" fillId="6" borderId="13" xfId="0" applyNumberFormat="1" applyFont="1" applyFill="1" applyBorder="1"/>
    <xf numFmtId="2" fontId="8" fillId="6" borderId="14" xfId="0" applyNumberFormat="1" applyFont="1" applyFill="1" applyBorder="1"/>
    <xf numFmtId="1" fontId="0" fillId="0" borderId="7" xfId="0" applyNumberFormat="1" applyBorder="1"/>
    <xf numFmtId="1" fontId="0" fillId="0" borderId="4" xfId="0" applyNumberFormat="1" applyBorder="1"/>
    <xf numFmtId="2" fontId="0" fillId="0" borderId="9" xfId="0" applyNumberFormat="1" applyBorder="1"/>
    <xf numFmtId="2" fontId="0" fillId="0" borderId="8" xfId="0" applyNumberFormat="1" applyBorder="1"/>
    <xf numFmtId="164" fontId="0" fillId="0" borderId="7" xfId="0" applyNumberFormat="1" applyBorder="1"/>
    <xf numFmtId="164" fontId="0" fillId="0" borderId="4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8" xfId="0" applyNumberFormat="1" applyBorder="1"/>
    <xf numFmtId="0" fontId="8" fillId="0" borderId="11" xfId="0" quotePrefix="1" applyFont="1" applyBorder="1"/>
    <xf numFmtId="1" fontId="0" fillId="11" borderId="10" xfId="0" applyNumberFormat="1" applyFill="1" applyBorder="1"/>
    <xf numFmtId="1" fontId="0" fillId="11" borderId="4" xfId="0" applyNumberFormat="1" applyFill="1" applyBorder="1"/>
    <xf numFmtId="2" fontId="0" fillId="11" borderId="9" xfId="0" applyNumberFormat="1" applyFill="1" applyBorder="1"/>
    <xf numFmtId="1" fontId="0" fillId="11" borderId="7" xfId="0" applyNumberFormat="1" applyFill="1" applyBorder="1"/>
    <xf numFmtId="0" fontId="8" fillId="0" borderId="11" xfId="0" applyFont="1" applyBorder="1" applyAlignment="1">
      <alignment horizontal="center"/>
    </xf>
    <xf numFmtId="1" fontId="8" fillId="7" borderId="12" xfId="0" applyNumberFormat="1" applyFont="1" applyFill="1" applyBorder="1" applyAlignment="1">
      <alignment horizontal="center"/>
    </xf>
    <xf numFmtId="1" fontId="8" fillId="7" borderId="11" xfId="0" applyNumberFormat="1" applyFont="1" applyFill="1" applyBorder="1" applyAlignment="1">
      <alignment horizontal="center"/>
    </xf>
    <xf numFmtId="2" fontId="8" fillId="7" borderId="13" xfId="0" applyNumberFormat="1" applyFont="1" applyFill="1" applyBorder="1" applyAlignment="1">
      <alignment horizontal="center"/>
    </xf>
    <xf numFmtId="2" fontId="8" fillId="7" borderId="14" xfId="0" applyNumberFormat="1" applyFont="1" applyFill="1" applyBorder="1" applyAlignment="1">
      <alignment horizontal="center"/>
    </xf>
    <xf numFmtId="1" fontId="8" fillId="8" borderId="12" xfId="0" applyNumberFormat="1" applyFont="1" applyFill="1" applyBorder="1" applyAlignment="1">
      <alignment horizontal="center"/>
    </xf>
    <xf numFmtId="1" fontId="8" fillId="8" borderId="11" xfId="0" applyNumberFormat="1" applyFont="1" applyFill="1" applyBorder="1" applyAlignment="1">
      <alignment horizontal="center"/>
    </xf>
    <xf numFmtId="2" fontId="8" fillId="8" borderId="13" xfId="0" applyNumberFormat="1" applyFont="1" applyFill="1" applyBorder="1" applyAlignment="1">
      <alignment horizontal="center"/>
    </xf>
    <xf numFmtId="2" fontId="8" fillId="8" borderId="14" xfId="0" applyNumberFormat="1" applyFont="1" applyFill="1" applyBorder="1" applyAlignment="1">
      <alignment horizontal="center"/>
    </xf>
    <xf numFmtId="1" fontId="8" fillId="6" borderId="12" xfId="0" applyNumberFormat="1" applyFont="1" applyFill="1" applyBorder="1" applyAlignment="1">
      <alignment horizontal="center"/>
    </xf>
    <xf numFmtId="1" fontId="8" fillId="6" borderId="11" xfId="0" applyNumberFormat="1" applyFont="1" applyFill="1" applyBorder="1" applyAlignment="1">
      <alignment horizontal="center"/>
    </xf>
    <xf numFmtId="2" fontId="8" fillId="6" borderId="13" xfId="0" applyNumberFormat="1" applyFont="1" applyFill="1" applyBorder="1" applyAlignment="1">
      <alignment horizontal="center"/>
    </xf>
    <xf numFmtId="2" fontId="8" fillId="6" borderId="14" xfId="0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1" fontId="0" fillId="12" borderId="4" xfId="0" applyNumberFormat="1" applyFill="1" applyBorder="1"/>
    <xf numFmtId="2" fontId="0" fillId="12" borderId="9" xfId="0" applyNumberFormat="1" applyFill="1" applyBorder="1"/>
    <xf numFmtId="2" fontId="0" fillId="12" borderId="4" xfId="0" applyNumberFormat="1" applyFill="1" applyBorder="1"/>
    <xf numFmtId="0" fontId="8" fillId="0" borderId="0" xfId="0" applyFont="1" applyAlignment="1">
      <alignment horizontal="center"/>
    </xf>
    <xf numFmtId="1" fontId="8" fillId="0" borderId="12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1" fontId="0" fillId="0" borderId="19" xfId="0" applyNumberFormat="1" applyBorder="1"/>
    <xf numFmtId="2" fontId="0" fillId="0" borderId="7" xfId="0" applyNumberFormat="1" applyBorder="1"/>
    <xf numFmtId="2" fontId="0" fillId="0" borderId="4" xfId="0" applyNumberFormat="1" applyBorder="1"/>
    <xf numFmtId="2" fontId="0" fillId="0" borderId="10" xfId="0" applyNumberFormat="1" applyBorder="1"/>
    <xf numFmtId="165" fontId="0" fillId="13" borderId="7" xfId="0" applyNumberFormat="1" applyFill="1" applyBorder="1"/>
    <xf numFmtId="165" fontId="0" fillId="13" borderId="4" xfId="0" applyNumberFormat="1" applyFill="1" applyBorder="1"/>
    <xf numFmtId="165" fontId="0" fillId="13" borderId="9" xfId="0" applyNumberFormat="1" applyFill="1" applyBorder="1"/>
    <xf numFmtId="165" fontId="0" fillId="13" borderId="10" xfId="0" applyNumberFormat="1" applyFill="1" applyBorder="1"/>
    <xf numFmtId="165" fontId="0" fillId="13" borderId="8" xfId="0" applyNumberFormat="1" applyFill="1" applyBorder="1"/>
    <xf numFmtId="0" fontId="2" fillId="0" borderId="0" xfId="0" applyFont="1" applyAlignment="1">
      <alignment horizontal="center"/>
    </xf>
    <xf numFmtId="0" fontId="0" fillId="0" borderId="0" xfId="0"/>
    <xf numFmtId="2" fontId="0" fillId="0" borderId="0" xfId="0" applyNumberFormat="1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yield of oats and tomatoes,</a:t>
            </a:r>
            <a:r>
              <a:rPr lang="en-US" baseline="0"/>
              <a:t> no fert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'oat tomato'!$K$2</c:f>
              <c:strCache>
                <c:ptCount val="1"/>
                <c:pt idx="0">
                  <c:v>oats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'oat tomato'!$J$3:$J$6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'oat tomato'!$K$3:$K$6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2.3645000000000005</c:v>
                </c:pt>
                <c:pt idx="2">
                  <c:v>4.5317000000000007</c:v>
                </c:pt>
                <c:pt idx="3">
                  <c:v>6.564210526315791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6-3D4A-A206-F4B942F6F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605136"/>
        <c:axId val="949938704"/>
      </c:scatterChart>
      <c:scatterChart>
        <c:scatterStyle val="lineMarker"/>
        <c:varyColors val="0"/>
        <c:ser>
          <c:idx val="1"/>
          <c:order val="1"/>
          <c:tx>
            <c:strRef>
              <c:f>'oat tomato'!$L$2</c:f>
              <c:strCache>
                <c:ptCount val="1"/>
                <c:pt idx="0">
                  <c:v>tom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'oat tomato'!$J$3:$J$6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'oat tomato'!$L$3:$L$6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0.35674500000000003</c:v>
                </c:pt>
                <c:pt idx="2">
                  <c:v>0.81400000000000006</c:v>
                </c:pt>
                <c:pt idx="3">
                  <c:v>2.4242105263157891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06-3D4A-A206-F4B942F6F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51504"/>
        <c:axId val="1933208496"/>
      </c:scatterChart>
      <c:valAx>
        <c:axId val="94960513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Seeds planted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38704"/>
        <c:crosses val="autoZero"/>
        <c:crossBetween val="midCat"/>
      </c:valAx>
      <c:valAx>
        <c:axId val="9499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05136"/>
        <c:crosses val="autoZero"/>
        <c:crossBetween val="midCat"/>
      </c:valAx>
      <c:valAx>
        <c:axId val="19332084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51504"/>
        <c:crosses val="max"/>
        <c:crossBetween val="midCat"/>
      </c:valAx>
      <c:valAx>
        <c:axId val="1933251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208496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Total yield of oats and tomatoes,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'oat tomato'!$K$27</c:f>
              <c:strCache>
                <c:ptCount val="1"/>
                <c:pt idx="0">
                  <c:v>oats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'oat tomato'!$J$28:$J$31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'oat tomato'!$K$28:$K$31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5.5781818181818181</c:v>
                </c:pt>
                <c:pt idx="2">
                  <c:v>8.36318181818182</c:v>
                </c:pt>
                <c:pt idx="3">
                  <c:v>10.334090909090907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B-B647-AA34-FA1663217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943248"/>
        <c:axId val="765494655"/>
      </c:scatterChart>
      <c:scatterChart>
        <c:scatterStyle val="lineMarker"/>
        <c:varyColors val="0"/>
        <c:ser>
          <c:idx val="1"/>
          <c:order val="1"/>
          <c:tx>
            <c:strRef>
              <c:f>'oat tomato'!$L$27</c:f>
              <c:strCache>
                <c:ptCount val="1"/>
                <c:pt idx="0">
                  <c:v>tom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'oat tomato'!$J$28:$J$31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'oat tomato'!$L$28:$L$31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0.42772727272727273</c:v>
                </c:pt>
                <c:pt idx="2">
                  <c:v>1.0799999999999998</c:v>
                </c:pt>
                <c:pt idx="3">
                  <c:v>2.4613636363636364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B-B647-AA34-FA1663217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92464"/>
        <c:axId val="1933289872"/>
      </c:scatterChart>
      <c:valAx>
        <c:axId val="19619432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Seeds planted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94655"/>
        <c:crosses val="autoZero"/>
        <c:crossBetween val="midCat"/>
      </c:valAx>
      <c:valAx>
        <c:axId val="7654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43248"/>
        <c:crosses val="autoZero"/>
        <c:crossBetween val="midCat"/>
      </c:valAx>
      <c:valAx>
        <c:axId val="1933289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92464"/>
        <c:crosses val="max"/>
        <c:crossBetween val="midCat"/>
      </c:valAx>
      <c:valAx>
        <c:axId val="193329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28987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length of oats and tomatoes,</a:t>
            </a:r>
            <a:r>
              <a:rPr lang="en-US" baseline="0"/>
              <a:t> no fert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'oat tomato'!$C$2</c:f>
              <c:strCache>
                <c:ptCount val="1"/>
                <c:pt idx="0">
                  <c:v>oats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'oat tomato'!$B$3:$B$6</c:f>
              <c:strCache>
                <c:ptCount val="4"/>
                <c:pt idx="0">
                  <c:v>30O</c:v>
                </c:pt>
                <c:pt idx="1">
                  <c:v>20O/10T</c:v>
                </c:pt>
                <c:pt idx="2">
                  <c:v>10O/20T</c:v>
                </c:pt>
                <c:pt idx="3">
                  <c:v>30T</c:v>
                </c:pt>
              </c:strCache>
            </c:strRef>
          </c:cat>
          <c:val>
            <c:numRef>
              <c:f>'oat tomato'!$C$3:$C$6</c:f>
              <c:numCache>
                <c:formatCode>0.00</c:formatCode>
                <c:ptCount val="4"/>
                <c:pt idx="0">
                  <c:v>165.85331578947367</c:v>
                </c:pt>
                <c:pt idx="1">
                  <c:v>168.39794999999998</c:v>
                </c:pt>
                <c:pt idx="2">
                  <c:v>171.51849999999996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F-D040-9462-F83F85B58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73647"/>
        <c:axId val="755647311"/>
      </c:lineChart>
      <c:lineChart>
        <c:grouping val="standard"/>
        <c:varyColors val="0"/>
        <c:ser>
          <c:idx val="1"/>
          <c:order val="1"/>
          <c:tx>
            <c:strRef>
              <c:f>'oat tomato'!$D$2</c:f>
              <c:strCache>
                <c:ptCount val="1"/>
                <c:pt idx="0">
                  <c:v>tomato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'oat tomato'!$B$3:$B$6</c:f>
              <c:strCache>
                <c:ptCount val="4"/>
                <c:pt idx="0">
                  <c:v>30O</c:v>
                </c:pt>
                <c:pt idx="1">
                  <c:v>20O/10T</c:v>
                </c:pt>
                <c:pt idx="2">
                  <c:v>10O/20T</c:v>
                </c:pt>
                <c:pt idx="3">
                  <c:v>30T</c:v>
                </c:pt>
              </c:strCache>
            </c:strRef>
          </c:cat>
          <c:val>
            <c:numRef>
              <c:f>'oat tomato'!$D$3:$D$6</c:f>
              <c:numCache>
                <c:formatCode>0.00</c:formatCode>
                <c:ptCount val="4"/>
                <c:pt idx="1">
                  <c:v>34.846700000000006</c:v>
                </c:pt>
                <c:pt idx="2">
                  <c:v>36.026449999999997</c:v>
                </c:pt>
                <c:pt idx="3">
                  <c:v>38.636821052631582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F-D040-9462-F83F85B58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922880"/>
        <c:axId val="2009952480"/>
      </c:lineChart>
      <c:catAx>
        <c:axId val="58673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647311"/>
        <c:crosses val="autoZero"/>
        <c:auto val="1"/>
        <c:lblAlgn val="ctr"/>
        <c:lblOffset val="100"/>
        <c:noMultiLvlLbl val="0"/>
      </c:catAx>
      <c:valAx>
        <c:axId val="755647311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3647"/>
        <c:crosses val="autoZero"/>
        <c:crossBetween val="between"/>
      </c:valAx>
      <c:valAx>
        <c:axId val="2009952480"/>
        <c:scaling>
          <c:orientation val="minMax"/>
          <c:max val="7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22880"/>
        <c:crosses val="max"/>
        <c:crossBetween val="between"/>
      </c:valAx>
      <c:catAx>
        <c:axId val="2009922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99524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length of oats and tomatoes,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'oat tomato'!$C$27</c:f>
              <c:strCache>
                <c:ptCount val="1"/>
                <c:pt idx="0">
                  <c:v>oats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'oat tomato'!$B$28:$B$31</c:f>
              <c:strCache>
                <c:ptCount val="4"/>
                <c:pt idx="0">
                  <c:v>30O</c:v>
                </c:pt>
                <c:pt idx="1">
                  <c:v>20O/10T</c:v>
                </c:pt>
                <c:pt idx="2">
                  <c:v>10O/20T</c:v>
                </c:pt>
                <c:pt idx="3">
                  <c:v>30T</c:v>
                </c:pt>
              </c:strCache>
            </c:strRef>
          </c:cat>
          <c:val>
            <c:numRef>
              <c:f>'oat tomato'!$C$28:$C$31</c:f>
              <c:numCache>
                <c:formatCode>0.00</c:formatCode>
                <c:ptCount val="4"/>
                <c:pt idx="0">
                  <c:v>240.55545454545455</c:v>
                </c:pt>
                <c:pt idx="1">
                  <c:v>256.9872727272728</c:v>
                </c:pt>
                <c:pt idx="2">
                  <c:v>254.65777272727274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2-834B-AC71-025834E44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570976"/>
        <c:axId val="656693039"/>
      </c:lineChart>
      <c:lineChart>
        <c:grouping val="standard"/>
        <c:varyColors val="0"/>
        <c:ser>
          <c:idx val="1"/>
          <c:order val="1"/>
          <c:tx>
            <c:strRef>
              <c:f>'oat tomato'!$D$27</c:f>
              <c:strCache>
                <c:ptCount val="1"/>
                <c:pt idx="0">
                  <c:v>tomato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'oat tomato'!$B$28:$B$31</c:f>
              <c:strCache>
                <c:ptCount val="4"/>
                <c:pt idx="0">
                  <c:v>30O</c:v>
                </c:pt>
                <c:pt idx="1">
                  <c:v>20O/10T</c:v>
                </c:pt>
                <c:pt idx="2">
                  <c:v>10O/20T</c:v>
                </c:pt>
                <c:pt idx="3">
                  <c:v>30T</c:v>
                </c:pt>
              </c:strCache>
            </c:strRef>
          </c:cat>
          <c:val>
            <c:numRef>
              <c:f>'oat tomato'!$D$28:$D$31</c:f>
              <c:numCache>
                <c:formatCode>0.00</c:formatCode>
                <c:ptCount val="4"/>
                <c:pt idx="1">
                  <c:v>50.430175727272733</c:v>
                </c:pt>
                <c:pt idx="2">
                  <c:v>50.014122727272728</c:v>
                </c:pt>
                <c:pt idx="3">
                  <c:v>54.713275636363619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02-834B-AC71-025834E44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802976"/>
        <c:axId val="1933419504"/>
      </c:lineChart>
      <c:catAx>
        <c:axId val="205757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3039"/>
        <c:crosses val="autoZero"/>
        <c:auto val="1"/>
        <c:lblAlgn val="ctr"/>
        <c:lblOffset val="100"/>
        <c:noMultiLvlLbl val="0"/>
      </c:catAx>
      <c:valAx>
        <c:axId val="6566930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0976"/>
        <c:crosses val="autoZero"/>
        <c:crossBetween val="between"/>
      </c:valAx>
      <c:valAx>
        <c:axId val="1933419504"/>
        <c:scaling>
          <c:orientation val="minMax"/>
          <c:max val="7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mean</a:t>
                </a:r>
                <a:r>
                  <a:rPr lang="en-US" baseline="0"/>
                  <a:t> length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802976"/>
        <c:crosses val="max"/>
        <c:crossBetween val="between"/>
      </c:valAx>
      <c:catAx>
        <c:axId val="200980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4195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Mean weight of oats and tomatoes, no fert</a:t>
            </a:r>
          </a:p>
        </c:rich>
      </c:tx>
      <c:layout>
        <c:manualLayout>
          <c:xMode val="edge"/>
          <c:yMode val="edge"/>
          <c:x val="0.13898416994750656"/>
          <c:y val="2.1367521367521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'oat tomato'!$G$27</c:f>
              <c:strCache>
                <c:ptCount val="1"/>
                <c:pt idx="0">
                  <c:v>oats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'oat tomato'!$F$3:$F$6</c:f>
              <c:strCache>
                <c:ptCount val="4"/>
                <c:pt idx="0">
                  <c:v>30O</c:v>
                </c:pt>
                <c:pt idx="1">
                  <c:v>20O/10T</c:v>
                </c:pt>
                <c:pt idx="2">
                  <c:v>10O/20T</c:v>
                </c:pt>
                <c:pt idx="3">
                  <c:v>30T</c:v>
                </c:pt>
              </c:strCache>
            </c:strRef>
          </c:cat>
          <c:val>
            <c:numRef>
              <c:f>'oat tomato'!$G$3:$G$6</c:f>
              <c:numCache>
                <c:formatCode>0.00</c:formatCode>
                <c:ptCount val="4"/>
                <c:pt idx="0">
                  <c:v>215.35652631578949</c:v>
                </c:pt>
                <c:pt idx="1">
                  <c:v>221.24675000000002</c:v>
                </c:pt>
                <c:pt idx="2">
                  <c:v>235.87850000000003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6-6648-9D22-5D616DCF9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336960"/>
        <c:axId val="799591391"/>
      </c:lineChart>
      <c:lineChart>
        <c:grouping val="standard"/>
        <c:varyColors val="0"/>
        <c:ser>
          <c:idx val="1"/>
          <c:order val="1"/>
          <c:tx>
            <c:strRef>
              <c:f>'oat tomato'!$H$27</c:f>
              <c:strCache>
                <c:ptCount val="1"/>
                <c:pt idx="0">
                  <c:v>tomato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'oat tomato'!$F$3:$F$6</c:f>
              <c:strCache>
                <c:ptCount val="4"/>
                <c:pt idx="0">
                  <c:v>30O</c:v>
                </c:pt>
                <c:pt idx="1">
                  <c:v>20O/10T</c:v>
                </c:pt>
                <c:pt idx="2">
                  <c:v>10O/20T</c:v>
                </c:pt>
                <c:pt idx="3">
                  <c:v>30T</c:v>
                </c:pt>
              </c:strCache>
            </c:strRef>
          </c:cat>
          <c:val>
            <c:numRef>
              <c:f>'oat tomato'!$H$3:$H$6</c:f>
              <c:numCache>
                <c:formatCode>0.00</c:formatCode>
                <c:ptCount val="4"/>
                <c:pt idx="1">
                  <c:v>42.729749999999996</c:v>
                </c:pt>
                <c:pt idx="2">
                  <c:v>53.271349999999998</c:v>
                </c:pt>
                <c:pt idx="3">
                  <c:v>94.566884210526339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46-6648-9D22-5D616DCF9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402144"/>
        <c:axId val="1933399184"/>
      </c:lineChart>
      <c:catAx>
        <c:axId val="194033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91391"/>
        <c:crosses val="autoZero"/>
        <c:auto val="1"/>
        <c:lblAlgn val="ctr"/>
        <c:lblOffset val="100"/>
        <c:noMultiLvlLbl val="0"/>
      </c:catAx>
      <c:valAx>
        <c:axId val="799591391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36960"/>
        <c:crosses val="autoZero"/>
        <c:crossBetween val="between"/>
      </c:valAx>
      <c:valAx>
        <c:axId val="1933399184"/>
        <c:scaling>
          <c:orientation val="minMax"/>
          <c:max val="1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02144"/>
        <c:crosses val="max"/>
        <c:crossBetween val="between"/>
      </c:valAx>
      <c:catAx>
        <c:axId val="19334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3991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Mean weight of oats and tomatoes,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'oat tomato'!$G$27</c:f>
              <c:strCache>
                <c:ptCount val="1"/>
                <c:pt idx="0">
                  <c:v>oats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'oat tomato'!$F$28:$F$31</c:f>
              <c:strCache>
                <c:ptCount val="4"/>
                <c:pt idx="0">
                  <c:v>30O</c:v>
                </c:pt>
                <c:pt idx="1">
                  <c:v>20O/10T</c:v>
                </c:pt>
                <c:pt idx="2">
                  <c:v>10O/20T</c:v>
                </c:pt>
                <c:pt idx="3">
                  <c:v>30T</c:v>
                </c:pt>
              </c:strCache>
            </c:strRef>
          </c:cat>
          <c:val>
            <c:numRef>
              <c:f>'oat tomato'!$G$28:$G$31</c:f>
              <c:numCache>
                <c:formatCode>0.00</c:formatCode>
                <c:ptCount val="4"/>
                <c:pt idx="0">
                  <c:v>351.98437878787877</c:v>
                </c:pt>
                <c:pt idx="1">
                  <c:v>421.01004781818176</c:v>
                </c:pt>
                <c:pt idx="2">
                  <c:v>550.62850000000003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9-9F4F-B13B-FBB6E6595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4431"/>
        <c:axId val="2058136304"/>
      </c:lineChart>
      <c:lineChart>
        <c:grouping val="standard"/>
        <c:varyColors val="0"/>
        <c:ser>
          <c:idx val="1"/>
          <c:order val="1"/>
          <c:tx>
            <c:strRef>
              <c:f>'oat tomato'!$H$27</c:f>
              <c:strCache>
                <c:ptCount val="1"/>
                <c:pt idx="0">
                  <c:v>tomato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'oat tomato'!$F$28:$F$31</c:f>
              <c:strCache>
                <c:ptCount val="4"/>
                <c:pt idx="0">
                  <c:v>30O</c:v>
                </c:pt>
                <c:pt idx="1">
                  <c:v>20O/10T</c:v>
                </c:pt>
                <c:pt idx="2">
                  <c:v>10O/20T</c:v>
                </c:pt>
                <c:pt idx="3">
                  <c:v>30T</c:v>
                </c:pt>
              </c:strCache>
            </c:strRef>
          </c:cat>
          <c:val>
            <c:numRef>
              <c:f>'oat tomato'!$H$28:$H$31</c:f>
              <c:numCache>
                <c:formatCode>0.00</c:formatCode>
                <c:ptCount val="4"/>
                <c:pt idx="1">
                  <c:v>53.881461818181812</c:v>
                </c:pt>
                <c:pt idx="2">
                  <c:v>65.494745558823524</c:v>
                </c:pt>
                <c:pt idx="3">
                  <c:v>99.464263636363611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E9-9F4F-B13B-FBB6E6595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010992"/>
        <c:axId val="2009986608"/>
      </c:lineChart>
      <c:catAx>
        <c:axId val="5320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136304"/>
        <c:crosses val="autoZero"/>
        <c:auto val="1"/>
        <c:lblAlgn val="ctr"/>
        <c:lblOffset val="100"/>
        <c:noMultiLvlLbl val="0"/>
      </c:catAx>
      <c:valAx>
        <c:axId val="20581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4431"/>
        <c:crosses val="autoZero"/>
        <c:crossBetween val="between"/>
      </c:valAx>
      <c:valAx>
        <c:axId val="2009986608"/>
        <c:scaling>
          <c:orientation val="minMax"/>
          <c:max val="1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0992"/>
        <c:crosses val="max"/>
        <c:crossBetween val="between"/>
      </c:valAx>
      <c:catAx>
        <c:axId val="193301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99866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yield of oats and alfalfa,</a:t>
            </a:r>
            <a:r>
              <a:rPr lang="en-US" baseline="0"/>
              <a:t> no fert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'oat alfalfa'!$K$2</c:f>
              <c:strCache>
                <c:ptCount val="1"/>
                <c:pt idx="0">
                  <c:v>oats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'oat alfalfa'!$J$3:$J$6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'oat alfalfa'!$K$3:$K$6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2.2738888888888891</c:v>
                </c:pt>
                <c:pt idx="2">
                  <c:v>4.4854350000000007</c:v>
                </c:pt>
                <c:pt idx="3">
                  <c:v>6.564210526315791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8-8B44-AB54-8456597BC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605136"/>
        <c:axId val="949938704"/>
      </c:scatterChart>
      <c:scatterChart>
        <c:scatterStyle val="lineMarker"/>
        <c:varyColors val="0"/>
        <c:ser>
          <c:idx val="1"/>
          <c:order val="1"/>
          <c:tx>
            <c:strRef>
              <c:f>'oat alfalfa'!$L$2</c:f>
              <c:strCache>
                <c:ptCount val="1"/>
                <c:pt idx="0">
                  <c:v>alfalfa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'oat alfalfa'!$J$3:$J$6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'oat alfalfa'!$L$3:$L$6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0.87668999999999975</c:v>
                </c:pt>
                <c:pt idx="2">
                  <c:v>2.0061111111111112</c:v>
                </c:pt>
                <c:pt idx="3">
                  <c:v>2.9880000000000004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08-8B44-AB54-8456597BC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51504"/>
        <c:axId val="1933208496"/>
      </c:scatterChart>
      <c:valAx>
        <c:axId val="94960513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Seeds planted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38704"/>
        <c:crosses val="autoZero"/>
        <c:crossBetween val="midCat"/>
      </c:valAx>
      <c:valAx>
        <c:axId val="9499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05136"/>
        <c:crosses val="autoZero"/>
        <c:crossBetween val="midCat"/>
      </c:valAx>
      <c:valAx>
        <c:axId val="19332084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51504"/>
        <c:crosses val="max"/>
        <c:crossBetween val="midCat"/>
      </c:valAx>
      <c:valAx>
        <c:axId val="1933251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20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Total yield of oats and alfalfa,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'oat alfalfa'!$K$27</c:f>
              <c:strCache>
                <c:ptCount val="1"/>
                <c:pt idx="0">
                  <c:v>oats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'oat alfalfa'!$J$28:$J$31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'oat alfalfa'!$K$28:$K$31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4.8100000000000005</c:v>
                </c:pt>
                <c:pt idx="2">
                  <c:v>7.5031818181818162</c:v>
                </c:pt>
                <c:pt idx="3">
                  <c:v>10.334090909090907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7-4740-B7D6-07067BF62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943248"/>
        <c:axId val="765494655"/>
      </c:scatterChart>
      <c:scatterChart>
        <c:scatterStyle val="lineMarker"/>
        <c:varyColors val="0"/>
        <c:ser>
          <c:idx val="1"/>
          <c:order val="1"/>
          <c:tx>
            <c:strRef>
              <c:f>'oat alfalfa'!$L$27</c:f>
              <c:strCache>
                <c:ptCount val="1"/>
                <c:pt idx="0">
                  <c:v>alfalfa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'oat alfalfa'!$J$28:$J$31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'oat alfalfa'!$L$28:$L$31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0.70418181818181813</c:v>
                </c:pt>
                <c:pt idx="2">
                  <c:v>1.5319047619047619</c:v>
                </c:pt>
                <c:pt idx="3">
                  <c:v>2.6420954545454545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7-4740-B7D6-07067BF62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92464"/>
        <c:axId val="1933289872"/>
      </c:scatterChart>
      <c:valAx>
        <c:axId val="19619432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Seeds planted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94655"/>
        <c:crosses val="autoZero"/>
        <c:crossBetween val="midCat"/>
      </c:valAx>
      <c:valAx>
        <c:axId val="7654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43248"/>
        <c:crosses val="autoZero"/>
        <c:crossBetween val="midCat"/>
      </c:valAx>
      <c:valAx>
        <c:axId val="1933289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92464"/>
        <c:crosses val="max"/>
        <c:crossBetween val="midCat"/>
      </c:valAx>
      <c:valAx>
        <c:axId val="193329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28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length of oats and alfalfa,</a:t>
            </a:r>
            <a:r>
              <a:rPr lang="en-US" baseline="0"/>
              <a:t> no fert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'oat alfalfa'!$C$2</c:f>
              <c:strCache>
                <c:ptCount val="1"/>
                <c:pt idx="0">
                  <c:v>oats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'oat alfalfa'!$B$3:$B$6</c:f>
              <c:strCache>
                <c:ptCount val="4"/>
                <c:pt idx="0">
                  <c:v>30O</c:v>
                </c:pt>
                <c:pt idx="1">
                  <c:v>20O/10A</c:v>
                </c:pt>
                <c:pt idx="2">
                  <c:v>10O/20A</c:v>
                </c:pt>
                <c:pt idx="3">
                  <c:v>30A</c:v>
                </c:pt>
              </c:strCache>
            </c:strRef>
          </c:cat>
          <c:val>
            <c:numRef>
              <c:f>'oat alfalfa'!$C$3:$C$6</c:f>
              <c:numCache>
                <c:formatCode>0.00</c:formatCode>
                <c:ptCount val="4"/>
                <c:pt idx="0">
                  <c:v>165.85331578947367</c:v>
                </c:pt>
                <c:pt idx="1">
                  <c:v>168.66154999999998</c:v>
                </c:pt>
                <c:pt idx="2">
                  <c:v>173.32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E-8C46-9B4C-9D542F71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73647"/>
        <c:axId val="755647311"/>
      </c:lineChart>
      <c:lineChart>
        <c:grouping val="standard"/>
        <c:varyColors val="0"/>
        <c:ser>
          <c:idx val="1"/>
          <c:order val="1"/>
          <c:tx>
            <c:strRef>
              <c:f>'oat alfalfa'!$D$2</c:f>
              <c:strCache>
                <c:ptCount val="1"/>
                <c:pt idx="0">
                  <c:v>alfalfa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'oat alfalfa'!$B$3:$B$6</c:f>
              <c:strCache>
                <c:ptCount val="4"/>
                <c:pt idx="0">
                  <c:v>30O</c:v>
                </c:pt>
                <c:pt idx="1">
                  <c:v>20O/10A</c:v>
                </c:pt>
                <c:pt idx="2">
                  <c:v>10O/20A</c:v>
                </c:pt>
                <c:pt idx="3">
                  <c:v>30A</c:v>
                </c:pt>
              </c:strCache>
            </c:strRef>
          </c:cat>
          <c:val>
            <c:numRef>
              <c:f>'oat alfalfa'!$D$3:$D$6</c:f>
              <c:numCache>
                <c:formatCode>0.00</c:formatCode>
                <c:ptCount val="4"/>
                <c:pt idx="1">
                  <c:v>52.557099999999991</c:v>
                </c:pt>
                <c:pt idx="2">
                  <c:v>49.784555555555563</c:v>
                </c:pt>
                <c:pt idx="3">
                  <c:v>48.525500000000001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E-8C46-9B4C-9D542F71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922880"/>
        <c:axId val="2009952480"/>
      </c:lineChart>
      <c:catAx>
        <c:axId val="58673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647311"/>
        <c:crosses val="autoZero"/>
        <c:auto val="1"/>
        <c:lblAlgn val="ctr"/>
        <c:lblOffset val="100"/>
        <c:noMultiLvlLbl val="0"/>
      </c:catAx>
      <c:valAx>
        <c:axId val="755647311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3647"/>
        <c:crosses val="autoZero"/>
        <c:crossBetween val="between"/>
      </c:valAx>
      <c:valAx>
        <c:axId val="2009952480"/>
        <c:scaling>
          <c:orientation val="minMax"/>
          <c:max val="7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22880"/>
        <c:crosses val="max"/>
        <c:crossBetween val="between"/>
      </c:valAx>
      <c:catAx>
        <c:axId val="2009922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9952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length of oats and alfalfa,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'oat alfalfa'!$C$27</c:f>
              <c:strCache>
                <c:ptCount val="1"/>
                <c:pt idx="0">
                  <c:v>oats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'oat alfalfa'!$B$28:$B$31</c:f>
              <c:strCache>
                <c:ptCount val="4"/>
                <c:pt idx="0">
                  <c:v>30O</c:v>
                </c:pt>
                <c:pt idx="1">
                  <c:v>20O/10A</c:v>
                </c:pt>
                <c:pt idx="2">
                  <c:v>10O/20A</c:v>
                </c:pt>
                <c:pt idx="3">
                  <c:v>30A</c:v>
                </c:pt>
              </c:strCache>
            </c:strRef>
          </c:cat>
          <c:val>
            <c:numRef>
              <c:f>'oat alfalfa'!$C$28:$C$31</c:f>
              <c:numCache>
                <c:formatCode>0.00</c:formatCode>
                <c:ptCount val="4"/>
                <c:pt idx="0">
                  <c:v>240.55545454545455</c:v>
                </c:pt>
                <c:pt idx="1">
                  <c:v>245.7630681818182</c:v>
                </c:pt>
                <c:pt idx="2">
                  <c:v>248.99252380952379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6-6949-8681-ADF07511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570976"/>
        <c:axId val="656693039"/>
      </c:lineChart>
      <c:lineChart>
        <c:grouping val="standard"/>
        <c:varyColors val="0"/>
        <c:ser>
          <c:idx val="1"/>
          <c:order val="1"/>
          <c:tx>
            <c:strRef>
              <c:f>'oat alfalfa'!$D$27</c:f>
              <c:strCache>
                <c:ptCount val="1"/>
                <c:pt idx="0">
                  <c:v>alfalfa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'oat alfalfa'!$B$28:$B$31</c:f>
              <c:strCache>
                <c:ptCount val="4"/>
                <c:pt idx="0">
                  <c:v>30O</c:v>
                </c:pt>
                <c:pt idx="1">
                  <c:v>20O/10A</c:v>
                </c:pt>
                <c:pt idx="2">
                  <c:v>10O/20A</c:v>
                </c:pt>
                <c:pt idx="3">
                  <c:v>30A</c:v>
                </c:pt>
              </c:strCache>
            </c:strRef>
          </c:cat>
          <c:val>
            <c:numRef>
              <c:f>'oat alfalfa'!$D$28:$D$31</c:f>
              <c:numCache>
                <c:formatCode>0.00</c:formatCode>
                <c:ptCount val="4"/>
                <c:pt idx="1">
                  <c:v>49.43204545454546</c:v>
                </c:pt>
                <c:pt idx="2">
                  <c:v>62.495052904761891</c:v>
                </c:pt>
                <c:pt idx="3">
                  <c:v>72.842185272727264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6-6949-8681-ADF07511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802976"/>
        <c:axId val="1933419504"/>
      </c:lineChart>
      <c:catAx>
        <c:axId val="205757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3039"/>
        <c:crosses val="autoZero"/>
        <c:auto val="1"/>
        <c:lblAlgn val="ctr"/>
        <c:lblOffset val="100"/>
        <c:noMultiLvlLbl val="0"/>
      </c:catAx>
      <c:valAx>
        <c:axId val="6566930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0976"/>
        <c:crosses val="autoZero"/>
        <c:crossBetween val="between"/>
      </c:valAx>
      <c:valAx>
        <c:axId val="1933419504"/>
        <c:scaling>
          <c:orientation val="minMax"/>
          <c:max val="7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mean</a:t>
                </a:r>
                <a:r>
                  <a:rPr lang="en-US" baseline="0"/>
                  <a:t> length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802976"/>
        <c:crosses val="max"/>
        <c:crossBetween val="between"/>
      </c:valAx>
      <c:catAx>
        <c:axId val="200980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419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Mean weight of oats and alfalfa, no fert</a:t>
            </a:r>
          </a:p>
        </c:rich>
      </c:tx>
      <c:layout>
        <c:manualLayout>
          <c:xMode val="edge"/>
          <c:yMode val="edge"/>
          <c:x val="0.13898416994750656"/>
          <c:y val="2.1367521367521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'oat alfalfa'!$G$27</c:f>
              <c:strCache>
                <c:ptCount val="1"/>
                <c:pt idx="0">
                  <c:v>oats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'oat alfalfa'!$F$3:$F$6</c:f>
              <c:strCache>
                <c:ptCount val="4"/>
                <c:pt idx="0">
                  <c:v>30O</c:v>
                </c:pt>
                <c:pt idx="1">
                  <c:v>20O/10A</c:v>
                </c:pt>
                <c:pt idx="2">
                  <c:v>10O/20A</c:v>
                </c:pt>
                <c:pt idx="3">
                  <c:v>30A</c:v>
                </c:pt>
              </c:strCache>
            </c:strRef>
          </c:cat>
          <c:val>
            <c:numRef>
              <c:f>'oat alfalfa'!$G$3:$G$6</c:f>
              <c:numCache>
                <c:formatCode>0.00</c:formatCode>
                <c:ptCount val="4"/>
                <c:pt idx="0">
                  <c:v>215.35652631578949</c:v>
                </c:pt>
                <c:pt idx="1">
                  <c:v>229.50129999999999</c:v>
                </c:pt>
                <c:pt idx="2">
                  <c:v>224.63033333333334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CD-2245-8530-EFBA21098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336960"/>
        <c:axId val="799591391"/>
      </c:lineChart>
      <c:lineChart>
        <c:grouping val="standard"/>
        <c:varyColors val="0"/>
        <c:ser>
          <c:idx val="1"/>
          <c:order val="1"/>
          <c:tx>
            <c:strRef>
              <c:f>'oat alfalfa'!$H$27</c:f>
              <c:strCache>
                <c:ptCount val="1"/>
                <c:pt idx="0">
                  <c:v>alfalfa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'oat alfalfa'!$F$3:$F$6</c:f>
              <c:strCache>
                <c:ptCount val="4"/>
                <c:pt idx="0">
                  <c:v>30O</c:v>
                </c:pt>
                <c:pt idx="1">
                  <c:v>20O/10A</c:v>
                </c:pt>
                <c:pt idx="2">
                  <c:v>10O/20A</c:v>
                </c:pt>
                <c:pt idx="3">
                  <c:v>30A</c:v>
                </c:pt>
              </c:strCache>
            </c:strRef>
          </c:cat>
          <c:val>
            <c:numRef>
              <c:f>'oat alfalfa'!$H$3:$H$6</c:f>
              <c:numCache>
                <c:formatCode>0.00</c:formatCode>
                <c:ptCount val="4"/>
                <c:pt idx="1">
                  <c:v>121.78035</c:v>
                </c:pt>
                <c:pt idx="2">
                  <c:v>132.93261111111113</c:v>
                </c:pt>
                <c:pt idx="3">
                  <c:v>132.97575000000001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CD-2245-8530-EFBA21098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402144"/>
        <c:axId val="1933399184"/>
      </c:lineChart>
      <c:catAx>
        <c:axId val="194033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91391"/>
        <c:crosses val="autoZero"/>
        <c:auto val="1"/>
        <c:lblAlgn val="ctr"/>
        <c:lblOffset val="100"/>
        <c:noMultiLvlLbl val="0"/>
      </c:catAx>
      <c:valAx>
        <c:axId val="799591391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36960"/>
        <c:crosses val="autoZero"/>
        <c:crossBetween val="between"/>
      </c:valAx>
      <c:valAx>
        <c:axId val="1933399184"/>
        <c:scaling>
          <c:orientation val="minMax"/>
          <c:max val="2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02144"/>
        <c:crosses val="max"/>
        <c:crossBetween val="between"/>
      </c:valAx>
      <c:catAx>
        <c:axId val="19334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399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Mean weight of oats and alfalfa,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'oat alfalfa'!$G$27</c:f>
              <c:strCache>
                <c:ptCount val="1"/>
                <c:pt idx="0">
                  <c:v>oats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'oat alfalfa'!$F$28:$F$31</c:f>
              <c:strCache>
                <c:ptCount val="4"/>
                <c:pt idx="0">
                  <c:v>30O</c:v>
                </c:pt>
                <c:pt idx="1">
                  <c:v>20O/10A</c:v>
                </c:pt>
                <c:pt idx="2">
                  <c:v>10O/20A</c:v>
                </c:pt>
                <c:pt idx="3">
                  <c:v>30A</c:v>
                </c:pt>
              </c:strCache>
            </c:strRef>
          </c:cat>
          <c:val>
            <c:numRef>
              <c:f>'oat alfalfa'!$G$28:$G$31</c:f>
              <c:numCache>
                <c:formatCode>0.00</c:formatCode>
                <c:ptCount val="4"/>
                <c:pt idx="0">
                  <c:v>351.98437878787877</c:v>
                </c:pt>
                <c:pt idx="1">
                  <c:v>386.81127272727275</c:v>
                </c:pt>
                <c:pt idx="2">
                  <c:v>500.34349206349214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5-3C4D-A204-8291D37A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4431"/>
        <c:axId val="2058136304"/>
      </c:lineChart>
      <c:lineChart>
        <c:grouping val="standard"/>
        <c:varyColors val="0"/>
        <c:ser>
          <c:idx val="1"/>
          <c:order val="1"/>
          <c:tx>
            <c:strRef>
              <c:f>'oat alfalfa'!$H$27</c:f>
              <c:strCache>
                <c:ptCount val="1"/>
                <c:pt idx="0">
                  <c:v>alfalfa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'oat alfalfa'!$F$28:$F$31</c:f>
              <c:strCache>
                <c:ptCount val="4"/>
                <c:pt idx="0">
                  <c:v>30O</c:v>
                </c:pt>
                <c:pt idx="1">
                  <c:v>20O/10A</c:v>
                </c:pt>
                <c:pt idx="2">
                  <c:v>10O/20A</c:v>
                </c:pt>
                <c:pt idx="3">
                  <c:v>30A</c:v>
                </c:pt>
              </c:strCache>
            </c:strRef>
          </c:cat>
          <c:val>
            <c:numRef>
              <c:f>'oat alfalfa'!$H$28:$H$31</c:f>
              <c:numCache>
                <c:formatCode>0.00</c:formatCode>
                <c:ptCount val="4"/>
                <c:pt idx="1">
                  <c:v>93.359090909090895</c:v>
                </c:pt>
                <c:pt idx="2">
                  <c:v>129.02354896606059</c:v>
                </c:pt>
                <c:pt idx="3">
                  <c:v>163.17783416233769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5-3C4D-A204-8291D37A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010992"/>
        <c:axId val="2009986608"/>
      </c:lineChart>
      <c:catAx>
        <c:axId val="5320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136304"/>
        <c:crosses val="autoZero"/>
        <c:auto val="1"/>
        <c:lblAlgn val="ctr"/>
        <c:lblOffset val="100"/>
        <c:noMultiLvlLbl val="0"/>
      </c:catAx>
      <c:valAx>
        <c:axId val="20581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Oats,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4431"/>
        <c:crosses val="autoZero"/>
        <c:crossBetween val="between"/>
      </c:valAx>
      <c:valAx>
        <c:axId val="2009986608"/>
        <c:scaling>
          <c:orientation val="minMax"/>
          <c:max val="2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0992"/>
        <c:crosses val="max"/>
        <c:crossBetween val="between"/>
      </c:valAx>
      <c:catAx>
        <c:axId val="193301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998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yield of tomatoes and alfalfa,</a:t>
            </a:r>
            <a:r>
              <a:rPr lang="en-US" baseline="0"/>
              <a:t> no fert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'tomato alfalfa'!$K$2</c:f>
              <c:strCache>
                <c:ptCount val="1"/>
                <c:pt idx="0">
                  <c:v>tomatoes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'tomato alfalfa'!$J$3:$J$6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'tomato alfalfa'!$K$3:$K$6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0.97336842105263177</c:v>
                </c:pt>
                <c:pt idx="2">
                  <c:v>1.1713750000000001</c:v>
                </c:pt>
                <c:pt idx="3">
                  <c:v>2.4242105263157891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F-3140-8B38-7773F1404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605136"/>
        <c:axId val="949938704"/>
      </c:scatterChart>
      <c:scatterChart>
        <c:scatterStyle val="lineMarker"/>
        <c:varyColors val="0"/>
        <c:ser>
          <c:idx val="1"/>
          <c:order val="1"/>
          <c:tx>
            <c:strRef>
              <c:f>'tomato alfalfa'!$L$2</c:f>
              <c:strCache>
                <c:ptCount val="1"/>
                <c:pt idx="0">
                  <c:v>alfalfa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'tomato alfalfa'!$J$3:$J$6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'tomato alfalfa'!$L$3:$L$6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1.1480350000000001</c:v>
                </c:pt>
                <c:pt idx="2">
                  <c:v>1.9155000000000002</c:v>
                </c:pt>
                <c:pt idx="3">
                  <c:v>2.9880000000000004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6F-3140-8B38-7773F1404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51504"/>
        <c:axId val="1933208496"/>
      </c:scatterChart>
      <c:valAx>
        <c:axId val="94960513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Seeds planted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38704"/>
        <c:crosses val="autoZero"/>
        <c:crossBetween val="midCat"/>
      </c:valAx>
      <c:valAx>
        <c:axId val="9499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05136"/>
        <c:crosses val="autoZero"/>
        <c:crossBetween val="midCat"/>
      </c:valAx>
      <c:valAx>
        <c:axId val="1933208496"/>
        <c:scaling>
          <c:orientation val="minMax"/>
          <c:max val="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51504"/>
        <c:crosses val="max"/>
        <c:crossBetween val="midCat"/>
      </c:valAx>
      <c:valAx>
        <c:axId val="1933251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20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Total yield of tomatoes and alfalfa,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'tomato alfalfa'!$K$27</c:f>
              <c:strCache>
                <c:ptCount val="1"/>
                <c:pt idx="0">
                  <c:v>tomatoes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'tomato alfalfa'!$J$28:$J$31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'tomato alfalfa'!$K$28:$K$31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0.64681818181818196</c:v>
                </c:pt>
                <c:pt idx="2">
                  <c:v>1.3766666666666667</c:v>
                </c:pt>
                <c:pt idx="3">
                  <c:v>2.4613636363636364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8-AC40-824A-539A76DB2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943248"/>
        <c:axId val="765494655"/>
      </c:scatterChart>
      <c:scatterChart>
        <c:scatterStyle val="lineMarker"/>
        <c:varyColors val="0"/>
        <c:ser>
          <c:idx val="1"/>
          <c:order val="1"/>
          <c:tx>
            <c:strRef>
              <c:f>'tomato alfalfa'!$L$27</c:f>
              <c:strCache>
                <c:ptCount val="1"/>
                <c:pt idx="0">
                  <c:v>alfalfa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'tomato alfalfa'!$J$28:$J$31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'tomato alfalfa'!$L$28:$L$31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1.4738095238095237</c:v>
                </c:pt>
                <c:pt idx="2">
                  <c:v>2.1462272727272733</c:v>
                </c:pt>
                <c:pt idx="3">
                  <c:v>2.6420954545454545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A8-AC40-824A-539A76DB2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92464"/>
        <c:axId val="1933289872"/>
      </c:scatterChart>
      <c:valAx>
        <c:axId val="19619432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Seeds planted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94655"/>
        <c:crosses val="autoZero"/>
        <c:crossBetween val="midCat"/>
      </c:valAx>
      <c:valAx>
        <c:axId val="7654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43248"/>
        <c:crosses val="autoZero"/>
        <c:crossBetween val="midCat"/>
      </c:valAx>
      <c:valAx>
        <c:axId val="1933289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aggregate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92464"/>
        <c:crosses val="max"/>
        <c:crossBetween val="midCat"/>
      </c:valAx>
      <c:valAx>
        <c:axId val="193329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28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aseline="0"/>
              <a:t>Mean length of tomatoes and alfalfa, no fert</a:t>
            </a:r>
          </a:p>
        </c:rich>
      </c:tx>
      <c:layout>
        <c:manualLayout>
          <c:xMode val="edge"/>
          <c:yMode val="edge"/>
          <c:x val="0.14072916666666666"/>
          <c:y val="2.5641025641025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'tomato alfalfa'!$C$2</c:f>
              <c:strCache>
                <c:ptCount val="1"/>
                <c:pt idx="0">
                  <c:v>tomatoes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'tomato alfalfa'!$B$3:$B$6</c:f>
              <c:strCache>
                <c:ptCount val="4"/>
                <c:pt idx="0">
                  <c:v>30T</c:v>
                </c:pt>
                <c:pt idx="1">
                  <c:v>20T/10A</c:v>
                </c:pt>
                <c:pt idx="2">
                  <c:v>10T/20A</c:v>
                </c:pt>
                <c:pt idx="3">
                  <c:v>30A</c:v>
                </c:pt>
              </c:strCache>
            </c:strRef>
          </c:cat>
          <c:val>
            <c:numRef>
              <c:f>'tomato alfalfa'!$C$3:$C$6</c:f>
              <c:numCache>
                <c:formatCode>0.00</c:formatCode>
                <c:ptCount val="4"/>
                <c:pt idx="0">
                  <c:v>38.636821052631582</c:v>
                </c:pt>
                <c:pt idx="1">
                  <c:v>41.01809999999999</c:v>
                </c:pt>
                <c:pt idx="2">
                  <c:v>39.091842105263161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D-584A-91BA-A7E580B9F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73647"/>
        <c:axId val="755647311"/>
      </c:lineChart>
      <c:lineChart>
        <c:grouping val="standard"/>
        <c:varyColors val="0"/>
        <c:ser>
          <c:idx val="1"/>
          <c:order val="1"/>
          <c:tx>
            <c:strRef>
              <c:f>'tomato alfalfa'!$D$2</c:f>
              <c:strCache>
                <c:ptCount val="1"/>
                <c:pt idx="0">
                  <c:v>alfalfa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'tomato alfalfa'!$B$3:$B$6</c:f>
              <c:strCache>
                <c:ptCount val="4"/>
                <c:pt idx="0">
                  <c:v>30T</c:v>
                </c:pt>
                <c:pt idx="1">
                  <c:v>20T/10A</c:v>
                </c:pt>
                <c:pt idx="2">
                  <c:v>10T/20A</c:v>
                </c:pt>
                <c:pt idx="3">
                  <c:v>30A</c:v>
                </c:pt>
              </c:strCache>
            </c:strRef>
          </c:cat>
          <c:val>
            <c:numRef>
              <c:f>'tomato alfalfa'!$D$3:$D$6</c:f>
              <c:numCache>
                <c:formatCode>0.00</c:formatCode>
                <c:ptCount val="4"/>
                <c:pt idx="1">
                  <c:v>57.633574999999993</c:v>
                </c:pt>
                <c:pt idx="2">
                  <c:v>52.77</c:v>
                </c:pt>
                <c:pt idx="3">
                  <c:v>48.525500000000001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D-584A-91BA-A7E580B9F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922880"/>
        <c:axId val="2009952480"/>
      </c:lineChart>
      <c:catAx>
        <c:axId val="58673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647311"/>
        <c:crosses val="autoZero"/>
        <c:auto val="1"/>
        <c:lblAlgn val="ctr"/>
        <c:lblOffset val="100"/>
        <c:noMultiLvlLbl val="0"/>
      </c:catAx>
      <c:valAx>
        <c:axId val="75564731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3647"/>
        <c:crosses val="autoZero"/>
        <c:crossBetween val="between"/>
      </c:valAx>
      <c:valAx>
        <c:axId val="2009952480"/>
        <c:scaling>
          <c:orientation val="minMax"/>
          <c:max val="9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22880"/>
        <c:crosses val="max"/>
        <c:crossBetween val="between"/>
      </c:valAx>
      <c:catAx>
        <c:axId val="2009922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9952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aseline="0"/>
              <a:t>Mean length of tomatoes and alfalfa,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'tomato alfalfa'!$C$27</c:f>
              <c:strCache>
                <c:ptCount val="1"/>
                <c:pt idx="0">
                  <c:v>tomatoes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'tomato alfalfa'!$B$28:$B$31</c:f>
              <c:strCache>
                <c:ptCount val="4"/>
                <c:pt idx="0">
                  <c:v>30T</c:v>
                </c:pt>
                <c:pt idx="1">
                  <c:v>20T/10A</c:v>
                </c:pt>
                <c:pt idx="2">
                  <c:v>10T/20A</c:v>
                </c:pt>
                <c:pt idx="3">
                  <c:v>30A</c:v>
                </c:pt>
              </c:strCache>
            </c:strRef>
          </c:cat>
          <c:val>
            <c:numRef>
              <c:f>'tomato alfalfa'!$C$28:$C$31</c:f>
              <c:numCache>
                <c:formatCode>0.00</c:formatCode>
                <c:ptCount val="4"/>
                <c:pt idx="0">
                  <c:v>54.713275636363619</c:v>
                </c:pt>
                <c:pt idx="1">
                  <c:v>52.018128571428576</c:v>
                </c:pt>
                <c:pt idx="2">
                  <c:v>49.625642818181809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2-2841-B180-7D318FDBD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570976"/>
        <c:axId val="656693039"/>
      </c:lineChart>
      <c:lineChart>
        <c:grouping val="standard"/>
        <c:varyColors val="0"/>
        <c:ser>
          <c:idx val="1"/>
          <c:order val="1"/>
          <c:tx>
            <c:strRef>
              <c:f>'tomato alfalfa'!$D$27</c:f>
              <c:strCache>
                <c:ptCount val="1"/>
                <c:pt idx="0">
                  <c:v>alfalfa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'tomato alfalfa'!$B$28:$B$31</c:f>
              <c:strCache>
                <c:ptCount val="4"/>
                <c:pt idx="0">
                  <c:v>30T</c:v>
                </c:pt>
                <c:pt idx="1">
                  <c:v>20T/10A</c:v>
                </c:pt>
                <c:pt idx="2">
                  <c:v>10T/20A</c:v>
                </c:pt>
                <c:pt idx="3">
                  <c:v>30A</c:v>
                </c:pt>
              </c:strCache>
            </c:strRef>
          </c:cat>
          <c:val>
            <c:numRef>
              <c:f>'tomato alfalfa'!$D$28:$D$31</c:f>
              <c:numCache>
                <c:formatCode>0.00</c:formatCode>
                <c:ptCount val="4"/>
                <c:pt idx="1">
                  <c:v>71.734285714285704</c:v>
                </c:pt>
                <c:pt idx="2">
                  <c:v>82.99558440909091</c:v>
                </c:pt>
                <c:pt idx="3">
                  <c:v>72.842185272727264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2-2841-B180-7D318FDBD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802976"/>
        <c:axId val="1933419504"/>
      </c:lineChart>
      <c:catAx>
        <c:axId val="205757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3039"/>
        <c:crosses val="autoZero"/>
        <c:auto val="1"/>
        <c:lblAlgn val="ctr"/>
        <c:lblOffset val="100"/>
        <c:noMultiLvlLbl val="0"/>
      </c:catAx>
      <c:valAx>
        <c:axId val="6566930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mean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0976"/>
        <c:crosses val="autoZero"/>
        <c:crossBetween val="between"/>
      </c:valAx>
      <c:valAx>
        <c:axId val="1933419504"/>
        <c:scaling>
          <c:orientation val="minMax"/>
          <c:max val="9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mean</a:t>
                </a:r>
                <a:r>
                  <a:rPr lang="en-US" baseline="0"/>
                  <a:t> length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802976"/>
        <c:crosses val="max"/>
        <c:crossBetween val="between"/>
      </c:valAx>
      <c:catAx>
        <c:axId val="200980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419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Mean weight of tomatoes and alfalfa, no fert</a:t>
            </a:r>
          </a:p>
        </c:rich>
      </c:tx>
      <c:layout>
        <c:manualLayout>
          <c:xMode val="edge"/>
          <c:yMode val="edge"/>
          <c:x val="0.13898416994750656"/>
          <c:y val="2.1367521367521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'tomato alfalfa'!$G$27</c:f>
              <c:strCache>
                <c:ptCount val="1"/>
                <c:pt idx="0">
                  <c:v>tomatoes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'tomato alfalfa'!$F$3:$F$6</c:f>
              <c:strCache>
                <c:ptCount val="4"/>
                <c:pt idx="0">
                  <c:v>30T</c:v>
                </c:pt>
                <c:pt idx="1">
                  <c:v>20T/10A</c:v>
                </c:pt>
                <c:pt idx="2">
                  <c:v>10T/20A</c:v>
                </c:pt>
                <c:pt idx="3">
                  <c:v>30A</c:v>
                </c:pt>
              </c:strCache>
            </c:strRef>
          </c:cat>
          <c:val>
            <c:numRef>
              <c:f>'tomato alfalfa'!$G$3:$G$6</c:f>
              <c:numCache>
                <c:formatCode>0.00</c:formatCode>
                <c:ptCount val="4"/>
                <c:pt idx="0">
                  <c:v>94.566884210526339</c:v>
                </c:pt>
                <c:pt idx="1">
                  <c:v>104.29949999999999</c:v>
                </c:pt>
                <c:pt idx="2">
                  <c:v>113.39942105263158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2-4A42-B054-BB0C0C24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336960"/>
        <c:axId val="799591391"/>
      </c:lineChart>
      <c:lineChart>
        <c:grouping val="standard"/>
        <c:varyColors val="0"/>
        <c:ser>
          <c:idx val="1"/>
          <c:order val="1"/>
          <c:tx>
            <c:strRef>
              <c:f>'tomato alfalfa'!$H$27</c:f>
              <c:strCache>
                <c:ptCount val="1"/>
                <c:pt idx="0">
                  <c:v>alfalfa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'tomato alfalfa'!$F$3:$F$6</c:f>
              <c:strCache>
                <c:ptCount val="4"/>
                <c:pt idx="0">
                  <c:v>30T</c:v>
                </c:pt>
                <c:pt idx="1">
                  <c:v>20T/10A</c:v>
                </c:pt>
                <c:pt idx="2">
                  <c:v>10T/20A</c:v>
                </c:pt>
                <c:pt idx="3">
                  <c:v>30A</c:v>
                </c:pt>
              </c:strCache>
            </c:strRef>
          </c:cat>
          <c:val>
            <c:numRef>
              <c:f>'tomato alfalfa'!$H$3:$H$6</c:f>
              <c:numCache>
                <c:formatCode>0.00</c:formatCode>
                <c:ptCount val="4"/>
                <c:pt idx="1">
                  <c:v>159.33629999999999</c:v>
                </c:pt>
                <c:pt idx="2">
                  <c:v>134.96950000000001</c:v>
                </c:pt>
                <c:pt idx="3">
                  <c:v>132.97575000000001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2-4A42-B054-BB0C0C24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402144"/>
        <c:axId val="1933399184"/>
      </c:lineChart>
      <c:catAx>
        <c:axId val="194033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91391"/>
        <c:crosses val="autoZero"/>
        <c:auto val="1"/>
        <c:lblAlgn val="ctr"/>
        <c:lblOffset val="100"/>
        <c:noMultiLvlLbl val="0"/>
      </c:catAx>
      <c:valAx>
        <c:axId val="79959139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36960"/>
        <c:crosses val="autoZero"/>
        <c:crossBetween val="between"/>
      </c:valAx>
      <c:valAx>
        <c:axId val="1933399184"/>
        <c:scaling>
          <c:orientation val="minMax"/>
          <c:max val="2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02144"/>
        <c:crosses val="max"/>
        <c:crossBetween val="between"/>
      </c:valAx>
      <c:catAx>
        <c:axId val="19334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399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Mean weight of tomatoes and alfalfa, + fert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'tomato alfalfa'!$G$27</c:f>
              <c:strCache>
                <c:ptCount val="1"/>
                <c:pt idx="0">
                  <c:v>tomatoes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'tomato alfalfa'!$F$28:$F$31</c:f>
              <c:strCache>
                <c:ptCount val="4"/>
                <c:pt idx="0">
                  <c:v>30T</c:v>
                </c:pt>
                <c:pt idx="1">
                  <c:v>20T/10A</c:v>
                </c:pt>
                <c:pt idx="2">
                  <c:v>10T/20A</c:v>
                </c:pt>
                <c:pt idx="3">
                  <c:v>30A</c:v>
                </c:pt>
              </c:strCache>
            </c:strRef>
          </c:cat>
          <c:val>
            <c:numRef>
              <c:f>'tomato alfalfa'!$G$28:$G$31</c:f>
              <c:numCache>
                <c:formatCode>0.00</c:formatCode>
                <c:ptCount val="4"/>
                <c:pt idx="0">
                  <c:v>99.464263636363611</c:v>
                </c:pt>
                <c:pt idx="1">
                  <c:v>86.895292448979575</c:v>
                </c:pt>
                <c:pt idx="2">
                  <c:v>88.088268398333327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7-8247-9B5B-FA8D81904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4431"/>
        <c:axId val="2058136304"/>
      </c:lineChart>
      <c:lineChart>
        <c:grouping val="standard"/>
        <c:varyColors val="0"/>
        <c:ser>
          <c:idx val="1"/>
          <c:order val="1"/>
          <c:tx>
            <c:strRef>
              <c:f>'tomato alfalfa'!$H$27</c:f>
              <c:strCache>
                <c:ptCount val="1"/>
                <c:pt idx="0">
                  <c:v>alfalfa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'tomato alfalfa'!$F$28:$F$31</c:f>
              <c:strCache>
                <c:ptCount val="4"/>
                <c:pt idx="0">
                  <c:v>30T</c:v>
                </c:pt>
                <c:pt idx="1">
                  <c:v>20T/10A</c:v>
                </c:pt>
                <c:pt idx="2">
                  <c:v>10T/20A</c:v>
                </c:pt>
                <c:pt idx="3">
                  <c:v>30A</c:v>
                </c:pt>
              </c:strCache>
            </c:strRef>
          </c:cat>
          <c:val>
            <c:numRef>
              <c:f>'tomato alfalfa'!$H$28:$H$31</c:f>
              <c:numCache>
                <c:formatCode>0.00</c:formatCode>
                <c:ptCount val="4"/>
                <c:pt idx="1">
                  <c:v>194.35238095238097</c:v>
                </c:pt>
                <c:pt idx="2">
                  <c:v>160.89448051818184</c:v>
                </c:pt>
                <c:pt idx="3">
                  <c:v>163.17783416233769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97-8247-9B5B-FA8D81904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010992"/>
        <c:axId val="2009986608"/>
      </c:lineChart>
      <c:catAx>
        <c:axId val="5320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136304"/>
        <c:crosses val="autoZero"/>
        <c:auto val="1"/>
        <c:lblAlgn val="ctr"/>
        <c:lblOffset val="100"/>
        <c:noMultiLvlLbl val="0"/>
      </c:catAx>
      <c:valAx>
        <c:axId val="2058136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Tomatoes,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4431"/>
        <c:crosses val="autoZero"/>
        <c:crossBetween val="between"/>
      </c:valAx>
      <c:valAx>
        <c:axId val="2009986608"/>
        <c:scaling>
          <c:orientation val="minMax"/>
          <c:max val="2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Alfalfa, mean 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0992"/>
        <c:crosses val="max"/>
        <c:crossBetween val="between"/>
      </c:valAx>
      <c:catAx>
        <c:axId val="193301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998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7</xdr:row>
      <xdr:rowOff>0</xdr:rowOff>
    </xdr:from>
    <xdr:to>
      <xdr:col>11</xdr:col>
      <xdr:colOff>787400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D52BBA-FF6E-DCE5-9F74-C86B89E22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32</xdr:row>
      <xdr:rowOff>0</xdr:rowOff>
    </xdr:from>
    <xdr:to>
      <xdr:col>11</xdr:col>
      <xdr:colOff>800100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38A9E6-8354-C05C-584B-095FCD33E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25400</xdr:colOff>
      <xdr:row>7</xdr:row>
      <xdr:rowOff>0</xdr:rowOff>
    </xdr:from>
    <xdr:to>
      <xdr:col>3</xdr:col>
      <xdr:colOff>812800</xdr:colOff>
      <xdr:row>25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C4899D3-D79B-690D-9C24-D579D9178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32</xdr:row>
      <xdr:rowOff>0</xdr:rowOff>
    </xdr:from>
    <xdr:to>
      <xdr:col>4</xdr:col>
      <xdr:colOff>0</xdr:colOff>
      <xdr:row>50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C57BC6-04D9-8691-82D7-D44A0D058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12700</xdr:colOff>
      <xdr:row>7</xdr:row>
      <xdr:rowOff>12700</xdr:rowOff>
    </xdr:from>
    <xdr:to>
      <xdr:col>7</xdr:col>
      <xdr:colOff>800100</xdr:colOff>
      <xdr:row>25</xdr:row>
      <xdr:rowOff>12700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220844-8311-FA75-60CA-DF527A2F2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25400</xdr:colOff>
      <xdr:row>32</xdr:row>
      <xdr:rowOff>0</xdr:rowOff>
    </xdr:from>
    <xdr:to>
      <xdr:col>7</xdr:col>
      <xdr:colOff>812800</xdr:colOff>
      <xdr:row>50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C39C8F5-A20B-1DB0-8764-F2FA2D6DB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7</xdr:row>
      <xdr:rowOff>0</xdr:rowOff>
    </xdr:from>
    <xdr:to>
      <xdr:col>11</xdr:col>
      <xdr:colOff>787400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639AF-59FC-2347-8322-866E445FE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32</xdr:row>
      <xdr:rowOff>0</xdr:rowOff>
    </xdr:from>
    <xdr:to>
      <xdr:col>11</xdr:col>
      <xdr:colOff>800100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80CEDA-5B41-A447-817A-D73071637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25400</xdr:colOff>
      <xdr:row>7</xdr:row>
      <xdr:rowOff>0</xdr:rowOff>
    </xdr:from>
    <xdr:to>
      <xdr:col>3</xdr:col>
      <xdr:colOff>812800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8B254-E6ED-8248-8189-EFE6C517E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32</xdr:row>
      <xdr:rowOff>0</xdr:rowOff>
    </xdr:from>
    <xdr:to>
      <xdr:col>4</xdr:col>
      <xdr:colOff>0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ABAC12-D60D-1745-A08F-6EF4A5038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12700</xdr:colOff>
      <xdr:row>7</xdr:row>
      <xdr:rowOff>12700</xdr:rowOff>
    </xdr:from>
    <xdr:to>
      <xdr:col>7</xdr:col>
      <xdr:colOff>800100</xdr:colOff>
      <xdr:row>25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7EFF07-D731-9848-90D7-C4A663E64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25400</xdr:colOff>
      <xdr:row>32</xdr:row>
      <xdr:rowOff>0</xdr:rowOff>
    </xdr:from>
    <xdr:to>
      <xdr:col>7</xdr:col>
      <xdr:colOff>812800</xdr:colOff>
      <xdr:row>50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563D62-A091-B54B-B210-B9CCD31FF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7</xdr:row>
      <xdr:rowOff>0</xdr:rowOff>
    </xdr:from>
    <xdr:to>
      <xdr:col>11</xdr:col>
      <xdr:colOff>787400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EA339-3978-9042-B8DF-6B3C53CE6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32</xdr:row>
      <xdr:rowOff>0</xdr:rowOff>
    </xdr:from>
    <xdr:to>
      <xdr:col>11</xdr:col>
      <xdr:colOff>800100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23A1A6-04A7-DA48-8EC6-7D47D5E3D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25400</xdr:colOff>
      <xdr:row>7</xdr:row>
      <xdr:rowOff>0</xdr:rowOff>
    </xdr:from>
    <xdr:to>
      <xdr:col>3</xdr:col>
      <xdr:colOff>812800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D195A6-E96D-7B4B-9F88-A20F80BFA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32</xdr:row>
      <xdr:rowOff>0</xdr:rowOff>
    </xdr:from>
    <xdr:to>
      <xdr:col>4</xdr:col>
      <xdr:colOff>0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6EF9C1-FA9B-C345-971E-8D8C8D831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12700</xdr:colOff>
      <xdr:row>7</xdr:row>
      <xdr:rowOff>12700</xdr:rowOff>
    </xdr:from>
    <xdr:to>
      <xdr:col>7</xdr:col>
      <xdr:colOff>800100</xdr:colOff>
      <xdr:row>25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748E98-C48C-F349-9B88-93D00AFB7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25400</xdr:colOff>
      <xdr:row>32</xdr:row>
      <xdr:rowOff>0</xdr:rowOff>
    </xdr:from>
    <xdr:to>
      <xdr:col>7</xdr:col>
      <xdr:colOff>812800</xdr:colOff>
      <xdr:row>50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DFB302-C076-EE41-B2EF-19CC58C55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00"/>
  <sheetViews>
    <sheetView workbookViewId="0">
      <selection activeCell="I10" sqref="I10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1">
        <v>30</v>
      </c>
      <c r="G3" s="11">
        <v>39.43</v>
      </c>
      <c r="H3" s="11">
        <v>43.66</v>
      </c>
      <c r="I3" s="11">
        <v>1.31</v>
      </c>
      <c r="K3" s="9" t="s">
        <v>11</v>
      </c>
      <c r="L3" s="10"/>
      <c r="M3" s="10"/>
      <c r="N3" s="10"/>
      <c r="O3" s="10"/>
      <c r="P3" s="12">
        <v>21</v>
      </c>
      <c r="Q3" s="12">
        <v>104.67</v>
      </c>
      <c r="R3" s="12">
        <v>722.38</v>
      </c>
      <c r="S3" s="12">
        <v>15.17</v>
      </c>
      <c r="U3" s="9" t="s">
        <v>11</v>
      </c>
      <c r="V3" s="10"/>
      <c r="W3" s="10"/>
      <c r="X3" s="10"/>
      <c r="Y3" s="10"/>
      <c r="Z3" s="11">
        <v>24</v>
      </c>
      <c r="AA3" s="11">
        <v>60.8</v>
      </c>
      <c r="AB3" s="11">
        <v>130</v>
      </c>
      <c r="AC3" s="11">
        <v>3.12</v>
      </c>
      <c r="AE3" s="9" t="s">
        <v>11</v>
      </c>
      <c r="AF3" s="10"/>
      <c r="AG3" s="10"/>
      <c r="AH3" s="10"/>
      <c r="AI3" s="10"/>
      <c r="AJ3" s="12">
        <v>23</v>
      </c>
      <c r="AK3" s="12">
        <v>49.7</v>
      </c>
      <c r="AL3" s="12">
        <v>123.9</v>
      </c>
      <c r="AM3" s="12">
        <v>2.85</v>
      </c>
    </row>
    <row r="4" spans="1:39" ht="15.75" customHeight="1">
      <c r="A4" s="4" t="s">
        <v>12</v>
      </c>
      <c r="B4" s="10">
        <v>10</v>
      </c>
      <c r="C4" s="10">
        <v>182.3</v>
      </c>
      <c r="D4" s="10">
        <v>180</v>
      </c>
      <c r="E4" s="10">
        <v>1.8</v>
      </c>
      <c r="F4" s="11">
        <v>12</v>
      </c>
      <c r="G4" s="11">
        <v>41.16</v>
      </c>
      <c r="H4" s="11">
        <v>90.83</v>
      </c>
      <c r="I4" s="11">
        <v>1.0900000000000001</v>
      </c>
      <c r="K4" s="4" t="s">
        <v>12</v>
      </c>
      <c r="L4" s="10">
        <v>11</v>
      </c>
      <c r="M4" s="10">
        <v>306.36</v>
      </c>
      <c r="N4" s="10">
        <v>1038.18</v>
      </c>
      <c r="O4" s="10">
        <v>11.42</v>
      </c>
      <c r="P4" s="11">
        <v>12</v>
      </c>
      <c r="Q4" s="11">
        <v>65.83</v>
      </c>
      <c r="R4" s="11">
        <v>124.17</v>
      </c>
      <c r="S4" s="11">
        <v>1.49</v>
      </c>
      <c r="U4" s="4" t="s">
        <v>12</v>
      </c>
      <c r="V4" s="10">
        <v>10</v>
      </c>
      <c r="W4" s="10">
        <v>272.3</v>
      </c>
      <c r="X4" s="10">
        <v>567</v>
      </c>
      <c r="Y4" s="10">
        <v>5.67</v>
      </c>
      <c r="Z4" s="11">
        <v>19</v>
      </c>
      <c r="AA4" s="11">
        <v>53.8</v>
      </c>
      <c r="AB4" s="11">
        <v>78.900000000000006</v>
      </c>
      <c r="AC4" s="11">
        <v>1.5</v>
      </c>
      <c r="AE4" s="4" t="s">
        <v>12</v>
      </c>
      <c r="AF4" s="10">
        <v>10</v>
      </c>
      <c r="AG4" s="10">
        <v>253.8</v>
      </c>
      <c r="AH4" s="10">
        <v>729</v>
      </c>
      <c r="AI4" s="10">
        <v>7.29</v>
      </c>
      <c r="AJ4" s="11">
        <v>18</v>
      </c>
      <c r="AK4" s="11">
        <v>51.27</v>
      </c>
      <c r="AL4" s="11">
        <v>80.55</v>
      </c>
      <c r="AM4" s="11">
        <v>1.45</v>
      </c>
    </row>
    <row r="5" spans="1:39" ht="15.75" customHeight="1">
      <c r="A5" s="4" t="s">
        <v>13</v>
      </c>
      <c r="B5" s="10">
        <v>20</v>
      </c>
      <c r="C5" s="10">
        <v>156.6</v>
      </c>
      <c r="D5" s="10">
        <v>172.5</v>
      </c>
      <c r="E5" s="10">
        <v>3.45</v>
      </c>
      <c r="F5" s="11">
        <v>10</v>
      </c>
      <c r="G5" s="11">
        <v>45.2</v>
      </c>
      <c r="H5" s="11">
        <v>46</v>
      </c>
      <c r="I5" s="11">
        <v>0.46</v>
      </c>
      <c r="K5" s="4" t="s">
        <v>13</v>
      </c>
      <c r="L5" s="10">
        <v>20</v>
      </c>
      <c r="M5" s="10">
        <v>296</v>
      </c>
      <c r="N5" s="10">
        <v>976</v>
      </c>
      <c r="O5" s="10">
        <v>19.52</v>
      </c>
      <c r="P5" s="11">
        <v>1</v>
      </c>
      <c r="Q5" s="11">
        <v>74</v>
      </c>
      <c r="R5" s="11">
        <v>170</v>
      </c>
      <c r="S5" s="11">
        <v>0.17</v>
      </c>
      <c r="U5" s="4" t="s">
        <v>13</v>
      </c>
      <c r="V5" s="10">
        <v>18</v>
      </c>
      <c r="W5" s="10">
        <v>249</v>
      </c>
      <c r="X5" s="10">
        <v>476</v>
      </c>
      <c r="Y5" s="10">
        <v>8.57</v>
      </c>
      <c r="Z5" s="11">
        <v>6</v>
      </c>
      <c r="AA5" s="11">
        <v>40</v>
      </c>
      <c r="AB5" s="11">
        <v>50</v>
      </c>
      <c r="AC5" s="11">
        <v>0.3</v>
      </c>
      <c r="AE5" s="4" t="s">
        <v>13</v>
      </c>
      <c r="AF5" s="10">
        <v>17</v>
      </c>
      <c r="AG5" s="10">
        <v>227.6</v>
      </c>
      <c r="AH5" s="10">
        <v>461.8</v>
      </c>
      <c r="AI5" s="10">
        <v>7.85</v>
      </c>
      <c r="AJ5" s="11">
        <v>10</v>
      </c>
      <c r="AK5" s="11">
        <v>46.5</v>
      </c>
      <c r="AL5" s="11">
        <v>67</v>
      </c>
      <c r="AM5" s="11">
        <v>0.67</v>
      </c>
    </row>
    <row r="6" spans="1:39" ht="15.75" customHeight="1">
      <c r="A6" s="4" t="s">
        <v>14</v>
      </c>
      <c r="B6" s="13">
        <v>40</v>
      </c>
      <c r="C6" s="13">
        <v>166.88</v>
      </c>
      <c r="D6" s="13">
        <v>195.25</v>
      </c>
      <c r="E6" s="13">
        <v>7.81</v>
      </c>
      <c r="F6" s="11"/>
      <c r="G6" s="11"/>
      <c r="H6" s="11"/>
      <c r="I6" s="11"/>
      <c r="K6" s="4" t="s">
        <v>14</v>
      </c>
      <c r="L6" s="10">
        <v>27</v>
      </c>
      <c r="M6" s="10">
        <v>251.74</v>
      </c>
      <c r="N6" s="10">
        <v>741.11</v>
      </c>
      <c r="O6" s="10">
        <v>20.010000000000002</v>
      </c>
      <c r="P6" s="11"/>
      <c r="Q6" s="11"/>
      <c r="R6" s="11"/>
      <c r="S6" s="11"/>
      <c r="U6" s="4" t="s">
        <v>14</v>
      </c>
      <c r="V6" s="10">
        <v>30</v>
      </c>
      <c r="W6" s="10">
        <v>234.2</v>
      </c>
      <c r="X6" s="10">
        <v>139</v>
      </c>
      <c r="Y6" s="10">
        <v>4.17</v>
      </c>
      <c r="Z6" s="11"/>
      <c r="AA6" s="11"/>
      <c r="AB6" s="11"/>
      <c r="AC6" s="11"/>
      <c r="AE6" s="4" t="s">
        <v>14</v>
      </c>
      <c r="AF6" s="13">
        <v>27</v>
      </c>
      <c r="AG6" s="13">
        <v>238.4</v>
      </c>
      <c r="AH6" s="13">
        <v>498.9</v>
      </c>
      <c r="AI6" s="13">
        <v>13.47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44</v>
      </c>
      <c r="G9" s="16">
        <v>54.17</v>
      </c>
      <c r="H9" s="16">
        <v>172</v>
      </c>
      <c r="I9" s="16">
        <v>7.57</v>
      </c>
      <c r="K9" s="9" t="s">
        <v>16</v>
      </c>
      <c r="L9" s="13"/>
      <c r="M9" s="13"/>
      <c r="N9" s="13"/>
      <c r="O9" s="13"/>
      <c r="P9" s="16">
        <v>5</v>
      </c>
      <c r="Q9" s="16">
        <v>58.6</v>
      </c>
      <c r="R9" s="16">
        <v>164</v>
      </c>
      <c r="S9" s="16">
        <v>0.82</v>
      </c>
      <c r="U9" s="9" t="s">
        <v>16</v>
      </c>
      <c r="V9" s="13"/>
      <c r="W9" s="13"/>
      <c r="X9" s="13"/>
      <c r="Y9" s="13"/>
      <c r="Z9" s="16">
        <v>17</v>
      </c>
      <c r="AA9" s="16">
        <v>63</v>
      </c>
      <c r="AB9" s="16">
        <v>139</v>
      </c>
      <c r="AC9" s="16">
        <v>2.37</v>
      </c>
      <c r="AE9" s="9" t="s">
        <v>16</v>
      </c>
      <c r="AF9" s="13"/>
      <c r="AG9" s="13"/>
      <c r="AH9" s="13"/>
      <c r="AI9" s="13"/>
      <c r="AJ9" s="16">
        <v>12</v>
      </c>
      <c r="AK9" s="16">
        <v>54.6</v>
      </c>
      <c r="AL9" s="16">
        <v>99.16</v>
      </c>
      <c r="AM9" s="16">
        <v>1.19</v>
      </c>
    </row>
    <row r="10" spans="1:39" ht="15.75" customHeight="1">
      <c r="A10" s="4" t="s">
        <v>17</v>
      </c>
      <c r="B10" s="13">
        <v>10</v>
      </c>
      <c r="C10" s="13">
        <v>178.1</v>
      </c>
      <c r="D10" s="13">
        <v>176</v>
      </c>
      <c r="E10" s="13">
        <v>1.76</v>
      </c>
      <c r="F10" s="16">
        <v>35</v>
      </c>
      <c r="G10" s="16">
        <v>53.09</v>
      </c>
      <c r="H10" s="16">
        <v>176</v>
      </c>
      <c r="I10" s="16">
        <v>4.6100000000000003</v>
      </c>
      <c r="K10" s="4" t="s">
        <v>17</v>
      </c>
      <c r="L10" s="13">
        <v>9</v>
      </c>
      <c r="M10" s="13">
        <v>313.33</v>
      </c>
      <c r="N10" s="13">
        <v>1020</v>
      </c>
      <c r="O10" s="13">
        <v>9.18</v>
      </c>
      <c r="P10" s="16">
        <v>9</v>
      </c>
      <c r="Q10" s="16">
        <v>58.33</v>
      </c>
      <c r="R10" s="16">
        <v>75.56</v>
      </c>
      <c r="S10" s="16">
        <v>0.68</v>
      </c>
      <c r="U10" s="4" t="s">
        <v>17</v>
      </c>
      <c r="V10" s="13">
        <v>9</v>
      </c>
      <c r="W10" s="13">
        <v>339.56</v>
      </c>
      <c r="X10" s="13">
        <v>855.6</v>
      </c>
      <c r="Y10" s="13">
        <v>7.7</v>
      </c>
      <c r="Z10" s="16">
        <v>11</v>
      </c>
      <c r="AA10" s="16">
        <v>50.09</v>
      </c>
      <c r="AB10" s="16">
        <v>93.6</v>
      </c>
      <c r="AC10" s="16">
        <v>1.03</v>
      </c>
      <c r="AE10" s="4" t="s">
        <v>17</v>
      </c>
      <c r="AF10" s="13">
        <v>9</v>
      </c>
      <c r="AG10" s="13">
        <v>249.4</v>
      </c>
      <c r="AH10" s="13">
        <v>680</v>
      </c>
      <c r="AI10" s="13">
        <v>6.12</v>
      </c>
      <c r="AJ10" s="16">
        <v>10</v>
      </c>
      <c r="AK10" s="16">
        <v>56.2</v>
      </c>
      <c r="AL10" s="16">
        <v>126</v>
      </c>
      <c r="AM10" s="16">
        <v>1.26</v>
      </c>
    </row>
    <row r="11" spans="1:39" ht="15.75" customHeight="1">
      <c r="A11" s="4" t="s">
        <v>18</v>
      </c>
      <c r="B11" s="13">
        <v>20</v>
      </c>
      <c r="C11" s="13">
        <v>171.7</v>
      </c>
      <c r="D11" s="13">
        <v>169.5</v>
      </c>
      <c r="E11" s="13">
        <v>3.39</v>
      </c>
      <c r="F11" s="16">
        <v>16</v>
      </c>
      <c r="G11" s="16">
        <v>42.125</v>
      </c>
      <c r="H11" s="16">
        <v>71.25</v>
      </c>
      <c r="I11" s="16">
        <v>1.1399999999999999</v>
      </c>
      <c r="K11" s="4" t="s">
        <v>18</v>
      </c>
      <c r="L11" s="13">
        <v>19</v>
      </c>
      <c r="M11" s="13">
        <v>280.60000000000002</v>
      </c>
      <c r="N11" s="13">
        <v>940</v>
      </c>
      <c r="O11" s="13">
        <v>17.88</v>
      </c>
      <c r="P11" s="16">
        <v>6</v>
      </c>
      <c r="Q11" s="16">
        <v>30.16</v>
      </c>
      <c r="R11" s="16">
        <v>46</v>
      </c>
      <c r="S11" s="16">
        <v>0.28000000000000003</v>
      </c>
      <c r="U11" s="4" t="s">
        <v>18</v>
      </c>
      <c r="V11" s="13">
        <v>20</v>
      </c>
      <c r="W11" s="13">
        <v>244.15</v>
      </c>
      <c r="X11" s="13">
        <v>473.5</v>
      </c>
      <c r="Y11" s="13">
        <v>9.4700000000000006</v>
      </c>
      <c r="Z11" s="16">
        <v>9</v>
      </c>
      <c r="AA11" s="16">
        <v>47.78</v>
      </c>
      <c r="AB11" s="16">
        <v>93.34</v>
      </c>
      <c r="AC11" s="16">
        <v>0.84</v>
      </c>
      <c r="AE11" s="4" t="s">
        <v>18</v>
      </c>
      <c r="AF11" s="13">
        <v>20</v>
      </c>
      <c r="AG11" s="13">
        <v>212.8</v>
      </c>
      <c r="AH11" s="13">
        <v>350</v>
      </c>
      <c r="AI11" s="13">
        <v>7</v>
      </c>
      <c r="AJ11" s="16">
        <v>7</v>
      </c>
      <c r="AK11" s="16">
        <v>30.43</v>
      </c>
      <c r="AL11" s="16">
        <v>64.290000000000006</v>
      </c>
      <c r="AM11" s="16">
        <v>0.45</v>
      </c>
    </row>
    <row r="12" spans="1:39" ht="15.75" customHeight="1">
      <c r="A12" s="4" t="s">
        <v>14</v>
      </c>
      <c r="B12" s="13">
        <v>40</v>
      </c>
      <c r="C12" s="13">
        <v>166.88</v>
      </c>
      <c r="D12" s="13">
        <v>195.25</v>
      </c>
      <c r="E12" s="13">
        <v>7.81</v>
      </c>
      <c r="F12" s="16"/>
      <c r="G12" s="16"/>
      <c r="H12" s="16"/>
      <c r="I12" s="16"/>
      <c r="K12" s="4" t="s">
        <v>14</v>
      </c>
      <c r="L12" s="10">
        <v>27</v>
      </c>
      <c r="M12" s="10">
        <v>251.74</v>
      </c>
      <c r="N12" s="10">
        <v>741.11</v>
      </c>
      <c r="O12" s="10">
        <v>20.010000000000002</v>
      </c>
      <c r="P12" s="16"/>
      <c r="Q12" s="16"/>
      <c r="R12" s="16"/>
      <c r="S12" s="16"/>
      <c r="U12" s="4" t="s">
        <v>14</v>
      </c>
      <c r="V12" s="10">
        <v>30</v>
      </c>
      <c r="W12" s="10">
        <v>234.2</v>
      </c>
      <c r="X12" s="10">
        <v>139</v>
      </c>
      <c r="Y12" s="10">
        <v>4.17</v>
      </c>
      <c r="Z12" s="16"/>
      <c r="AA12" s="16"/>
      <c r="AB12" s="16"/>
      <c r="AC12" s="16"/>
      <c r="AE12" s="4" t="s">
        <v>14</v>
      </c>
      <c r="AF12" s="13">
        <v>27</v>
      </c>
      <c r="AG12" s="13">
        <v>238.4</v>
      </c>
      <c r="AH12" s="13">
        <v>498.9</v>
      </c>
      <c r="AI12" s="13">
        <v>13.47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>
        <v>44</v>
      </c>
      <c r="G15" s="16">
        <v>54.17</v>
      </c>
      <c r="H15" s="16">
        <v>172</v>
      </c>
      <c r="I15" s="16">
        <v>7.57</v>
      </c>
      <c r="K15" s="9" t="s">
        <v>19</v>
      </c>
      <c r="L15" s="12"/>
      <c r="M15" s="12"/>
      <c r="N15" s="12"/>
      <c r="O15" s="12"/>
      <c r="P15" s="16">
        <v>5</v>
      </c>
      <c r="Q15" s="16">
        <v>58.6</v>
      </c>
      <c r="R15" s="16">
        <v>164</v>
      </c>
      <c r="S15" s="16">
        <v>0.82</v>
      </c>
      <c r="U15" s="9" t="s">
        <v>19</v>
      </c>
      <c r="V15" s="12"/>
      <c r="W15" s="12"/>
      <c r="X15" s="12"/>
      <c r="Y15" s="12"/>
      <c r="Z15" s="16">
        <v>17</v>
      </c>
      <c r="AA15" s="16">
        <v>63</v>
      </c>
      <c r="AB15" s="16">
        <v>139</v>
      </c>
      <c r="AC15" s="16">
        <v>2.37</v>
      </c>
      <c r="AE15" s="9" t="s">
        <v>19</v>
      </c>
      <c r="AF15" s="12"/>
      <c r="AG15" s="12"/>
      <c r="AH15" s="12"/>
      <c r="AI15" s="12"/>
      <c r="AJ15" s="16">
        <v>12</v>
      </c>
      <c r="AK15" s="16">
        <v>54.6</v>
      </c>
      <c r="AL15" s="16">
        <v>99.16</v>
      </c>
      <c r="AM15" s="16">
        <v>1.19</v>
      </c>
    </row>
    <row r="16" spans="1:39" ht="15.75" customHeight="1">
      <c r="A16" s="4" t="s">
        <v>20</v>
      </c>
      <c r="B16" s="12">
        <v>14</v>
      </c>
      <c r="C16" s="12">
        <v>29.5</v>
      </c>
      <c r="D16" s="12">
        <v>34.28</v>
      </c>
      <c r="E16" s="12">
        <v>0.48</v>
      </c>
      <c r="F16" s="16">
        <v>12</v>
      </c>
      <c r="G16" s="16">
        <v>59.17</v>
      </c>
      <c r="H16" s="16">
        <v>171.67</v>
      </c>
      <c r="I16" s="16">
        <v>2.06</v>
      </c>
      <c r="K16" s="4" t="s">
        <v>20</v>
      </c>
      <c r="L16" s="12">
        <v>7</v>
      </c>
      <c r="M16" s="12">
        <v>119.28</v>
      </c>
      <c r="N16" s="12">
        <v>1224.3</v>
      </c>
      <c r="O16" s="12">
        <v>8.57</v>
      </c>
      <c r="P16" s="16">
        <v>9</v>
      </c>
      <c r="Q16" s="16">
        <v>50.88</v>
      </c>
      <c r="R16" s="16">
        <v>128.88</v>
      </c>
      <c r="S16" s="16">
        <v>1.1599999999999999</v>
      </c>
      <c r="U16" s="4" t="s">
        <v>20</v>
      </c>
      <c r="V16" s="12">
        <v>8</v>
      </c>
      <c r="W16" s="12">
        <v>80</v>
      </c>
      <c r="X16" s="12">
        <v>230</v>
      </c>
      <c r="Y16" s="12">
        <v>1.84</v>
      </c>
      <c r="Z16" s="16">
        <v>15</v>
      </c>
      <c r="AA16" s="16">
        <v>63.46</v>
      </c>
      <c r="AB16" s="16">
        <v>146.69999999999999</v>
      </c>
      <c r="AC16" s="16">
        <v>2.2000000000000002</v>
      </c>
      <c r="AE16" s="4" t="s">
        <v>20</v>
      </c>
      <c r="AF16" s="12">
        <v>4</v>
      </c>
      <c r="AG16" s="12">
        <v>40.25</v>
      </c>
      <c r="AH16" s="12">
        <v>40</v>
      </c>
      <c r="AI16" s="12">
        <v>0.16</v>
      </c>
      <c r="AJ16" s="16">
        <v>10</v>
      </c>
      <c r="AK16" s="16">
        <v>49.2</v>
      </c>
      <c r="AL16" s="16">
        <v>104</v>
      </c>
      <c r="AM16" s="16">
        <v>1.04</v>
      </c>
    </row>
    <row r="17" spans="1:39" ht="15.75" customHeight="1">
      <c r="A17" s="4" t="s">
        <v>21</v>
      </c>
      <c r="B17" s="12">
        <v>40</v>
      </c>
      <c r="C17" s="12">
        <v>39.950000000000003</v>
      </c>
      <c r="D17" s="12">
        <v>56.5</v>
      </c>
      <c r="E17" s="12">
        <v>2.2599999999999998</v>
      </c>
      <c r="F17" s="16">
        <v>10</v>
      </c>
      <c r="G17" s="16">
        <v>58.8</v>
      </c>
      <c r="H17" s="16">
        <v>121</v>
      </c>
      <c r="I17" s="16">
        <v>1.21</v>
      </c>
      <c r="K17" s="4" t="s">
        <v>21</v>
      </c>
      <c r="L17" s="12">
        <v>8</v>
      </c>
      <c r="M17" s="12">
        <v>136.63</v>
      </c>
      <c r="N17" s="12">
        <v>1051.3</v>
      </c>
      <c r="O17" s="12">
        <v>8.41</v>
      </c>
      <c r="P17" s="16">
        <v>7</v>
      </c>
      <c r="Q17" s="16">
        <v>45.57</v>
      </c>
      <c r="R17" s="16">
        <v>92.86</v>
      </c>
      <c r="S17" s="16">
        <v>0.65</v>
      </c>
      <c r="U17" s="4" t="s">
        <v>21</v>
      </c>
      <c r="V17" s="12">
        <v>14</v>
      </c>
      <c r="W17" s="12">
        <v>57</v>
      </c>
      <c r="X17" s="12">
        <v>131.4</v>
      </c>
      <c r="Y17" s="12">
        <v>1.84</v>
      </c>
      <c r="Z17" s="16">
        <v>7</v>
      </c>
      <c r="AA17" s="16">
        <v>104</v>
      </c>
      <c r="AB17" s="16">
        <v>238.6</v>
      </c>
      <c r="AC17" s="16">
        <v>1.67</v>
      </c>
      <c r="AE17" s="4" t="s">
        <v>21</v>
      </c>
      <c r="AF17" s="12">
        <v>10</v>
      </c>
      <c r="AG17" s="12">
        <v>47.3</v>
      </c>
      <c r="AH17" s="12">
        <v>78</v>
      </c>
      <c r="AI17" s="12">
        <v>0.78</v>
      </c>
      <c r="AJ17" s="16">
        <v>3</v>
      </c>
      <c r="AK17" s="16">
        <v>55</v>
      </c>
      <c r="AL17" s="16">
        <v>103.3</v>
      </c>
      <c r="AM17" s="16">
        <v>0.31</v>
      </c>
    </row>
    <row r="18" spans="1:39" ht="15.75" customHeight="1">
      <c r="A18" s="4" t="s">
        <v>22</v>
      </c>
      <c r="B18" s="11">
        <v>30</v>
      </c>
      <c r="C18" s="11">
        <v>39.43</v>
      </c>
      <c r="D18" s="11">
        <v>43.66</v>
      </c>
      <c r="E18" s="11">
        <v>1.31</v>
      </c>
      <c r="F18" s="16"/>
      <c r="G18" s="16"/>
      <c r="H18" s="16"/>
      <c r="I18" s="16"/>
      <c r="K18" s="4" t="s">
        <v>22</v>
      </c>
      <c r="L18" s="12">
        <v>21</v>
      </c>
      <c r="M18" s="12">
        <v>104.67</v>
      </c>
      <c r="N18" s="12">
        <v>722.38</v>
      </c>
      <c r="O18" s="12">
        <v>15.17</v>
      </c>
      <c r="P18" s="16"/>
      <c r="Q18" s="16"/>
      <c r="R18" s="16"/>
      <c r="S18" s="16"/>
      <c r="U18" s="4" t="s">
        <v>22</v>
      </c>
      <c r="V18" s="11">
        <v>24</v>
      </c>
      <c r="W18" s="11">
        <v>60.8</v>
      </c>
      <c r="X18" s="11">
        <v>130</v>
      </c>
      <c r="Y18" s="11">
        <v>3.12</v>
      </c>
      <c r="Z18" s="16"/>
      <c r="AA18" s="16"/>
      <c r="AB18" s="16"/>
      <c r="AC18" s="16"/>
      <c r="AE18" s="4" t="s">
        <v>22</v>
      </c>
      <c r="AF18" s="12">
        <v>23</v>
      </c>
      <c r="AG18" s="12">
        <v>49.7</v>
      </c>
      <c r="AH18" s="12">
        <v>123.9</v>
      </c>
      <c r="AI18" s="12">
        <v>2.85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1000"/>
  <sheetViews>
    <sheetView workbookViewId="0">
      <selection activeCell="M11" sqref="M11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2">
        <v>40</v>
      </c>
      <c r="G3" s="12">
        <v>42.75</v>
      </c>
      <c r="H3" s="12">
        <v>54.75</v>
      </c>
      <c r="I3" s="12">
        <v>2.19</v>
      </c>
      <c r="K3" s="9" t="s">
        <v>11</v>
      </c>
      <c r="L3" s="10"/>
      <c r="M3" s="10"/>
      <c r="N3" s="10"/>
      <c r="O3" s="10"/>
      <c r="P3" s="12">
        <v>40</v>
      </c>
      <c r="Q3" s="12">
        <v>59.2</v>
      </c>
      <c r="R3" s="12">
        <v>267.75</v>
      </c>
      <c r="S3" s="12">
        <v>10.71</v>
      </c>
      <c r="U3" s="9" t="s">
        <v>11</v>
      </c>
      <c r="V3" s="10"/>
      <c r="W3" s="10"/>
      <c r="X3" s="10"/>
      <c r="Y3" s="10"/>
      <c r="Z3" s="11">
        <v>30</v>
      </c>
      <c r="AA3" s="11">
        <v>89.47</v>
      </c>
      <c r="AB3" s="11">
        <v>109</v>
      </c>
      <c r="AC3" s="11">
        <v>3.27</v>
      </c>
      <c r="AE3" s="9" t="s">
        <v>11</v>
      </c>
      <c r="AF3" s="10"/>
      <c r="AG3" s="10"/>
      <c r="AH3" s="10"/>
      <c r="AI3" s="10"/>
      <c r="AJ3" s="12">
        <v>25</v>
      </c>
      <c r="AK3" s="12">
        <v>61.32</v>
      </c>
      <c r="AL3" s="12">
        <v>135.6</v>
      </c>
      <c r="AM3" s="12">
        <v>3.39</v>
      </c>
    </row>
    <row r="4" spans="1:39" ht="15.75" customHeight="1">
      <c r="A4" s="4" t="s">
        <v>12</v>
      </c>
      <c r="B4" s="10">
        <v>15</v>
      </c>
      <c r="C4" s="10">
        <v>177.13</v>
      </c>
      <c r="D4" s="10">
        <v>202</v>
      </c>
      <c r="E4" s="10">
        <v>3.03</v>
      </c>
      <c r="F4" s="11">
        <v>26</v>
      </c>
      <c r="G4" s="11">
        <v>40.880000000000003</v>
      </c>
      <c r="H4" s="11">
        <v>65.38</v>
      </c>
      <c r="I4" s="11">
        <v>1.7</v>
      </c>
      <c r="K4" s="4" t="s">
        <v>12</v>
      </c>
      <c r="L4" s="10">
        <v>10</v>
      </c>
      <c r="M4" s="10">
        <v>178.5</v>
      </c>
      <c r="N4" s="10">
        <v>186</v>
      </c>
      <c r="O4" s="10">
        <v>1.86</v>
      </c>
      <c r="P4" s="11">
        <v>20</v>
      </c>
      <c r="Q4" s="11">
        <v>58.45</v>
      </c>
      <c r="R4" s="11">
        <v>138.5</v>
      </c>
      <c r="S4" s="11">
        <v>2.77</v>
      </c>
      <c r="U4" s="4" t="s">
        <v>12</v>
      </c>
      <c r="V4" s="10">
        <v>10</v>
      </c>
      <c r="W4" s="10">
        <v>237.1</v>
      </c>
      <c r="X4" s="10">
        <v>625</v>
      </c>
      <c r="Y4" s="10">
        <v>6.25</v>
      </c>
      <c r="Z4" s="11">
        <v>20</v>
      </c>
      <c r="AA4" s="11">
        <v>64.8</v>
      </c>
      <c r="AB4" s="11">
        <v>59.5</v>
      </c>
      <c r="AC4" s="11">
        <v>1.19</v>
      </c>
      <c r="AE4" s="4" t="s">
        <v>12</v>
      </c>
      <c r="AF4" s="10">
        <v>10</v>
      </c>
      <c r="AG4" s="10">
        <v>266.10000000000002</v>
      </c>
      <c r="AH4" s="10">
        <v>614</v>
      </c>
      <c r="AI4" s="10">
        <v>6.14</v>
      </c>
      <c r="AJ4" s="11">
        <v>14</v>
      </c>
      <c r="AK4" s="11">
        <v>58.28</v>
      </c>
      <c r="AL4" s="11">
        <v>102.86</v>
      </c>
      <c r="AM4" s="11">
        <v>1.44</v>
      </c>
    </row>
    <row r="5" spans="1:39" ht="15.75" customHeight="1">
      <c r="A5" s="4" t="s">
        <v>13</v>
      </c>
      <c r="B5" s="10">
        <v>16</v>
      </c>
      <c r="C5" s="10">
        <v>160</v>
      </c>
      <c r="D5" s="10">
        <v>184.375</v>
      </c>
      <c r="E5" s="10">
        <v>2.95</v>
      </c>
      <c r="F5" s="11">
        <v>16</v>
      </c>
      <c r="G5" s="11">
        <v>33.25</v>
      </c>
      <c r="H5" s="11">
        <v>39.375</v>
      </c>
      <c r="I5" s="11">
        <v>0.63</v>
      </c>
      <c r="K5" s="4" t="s">
        <v>13</v>
      </c>
      <c r="L5" s="23">
        <v>34</v>
      </c>
      <c r="M5" s="24">
        <v>196.4</v>
      </c>
      <c r="N5" s="24">
        <v>204.41</v>
      </c>
      <c r="O5" s="24">
        <v>6.95</v>
      </c>
      <c r="P5" s="11">
        <v>39</v>
      </c>
      <c r="Q5" s="11">
        <v>40.659999999999997</v>
      </c>
      <c r="R5" s="11">
        <v>38.97</v>
      </c>
      <c r="S5" s="11">
        <v>1.52</v>
      </c>
      <c r="U5" s="4" t="s">
        <v>13</v>
      </c>
      <c r="V5" s="10">
        <v>20</v>
      </c>
      <c r="W5" s="10">
        <v>225.7</v>
      </c>
      <c r="X5" s="10">
        <v>474</v>
      </c>
      <c r="Y5" s="10">
        <v>9.48</v>
      </c>
      <c r="Z5" s="11">
        <v>10</v>
      </c>
      <c r="AA5" s="11">
        <v>59.4</v>
      </c>
      <c r="AB5" s="11">
        <v>69</v>
      </c>
      <c r="AC5" s="11">
        <v>0.69</v>
      </c>
      <c r="AE5" s="4" t="s">
        <v>13</v>
      </c>
      <c r="AF5" s="10">
        <v>19</v>
      </c>
      <c r="AG5" s="10">
        <v>246.95</v>
      </c>
      <c r="AH5" s="10">
        <v>507.89</v>
      </c>
      <c r="AI5" s="10">
        <v>9.65</v>
      </c>
      <c r="AJ5" s="11">
        <v>8</v>
      </c>
      <c r="AK5" s="11">
        <v>51</v>
      </c>
      <c r="AL5" s="11">
        <v>65</v>
      </c>
      <c r="AM5" s="11">
        <v>0.52</v>
      </c>
    </row>
    <row r="6" spans="1:39" ht="15.75" customHeight="1">
      <c r="A6" s="4" t="s">
        <v>14</v>
      </c>
      <c r="B6" s="13">
        <v>40</v>
      </c>
      <c r="C6" s="13">
        <v>180.74</v>
      </c>
      <c r="D6" s="13">
        <v>197.25</v>
      </c>
      <c r="E6" s="13">
        <v>7.89</v>
      </c>
      <c r="F6" s="11"/>
      <c r="G6" s="11"/>
      <c r="H6" s="11"/>
      <c r="I6" s="11"/>
      <c r="K6" s="4" t="s">
        <v>14</v>
      </c>
      <c r="L6" s="25">
        <v>40</v>
      </c>
      <c r="M6" s="26">
        <v>186.77500000000001</v>
      </c>
      <c r="N6" s="26">
        <v>206.5</v>
      </c>
      <c r="O6" s="26">
        <v>8.26</v>
      </c>
      <c r="P6" s="11"/>
      <c r="Q6" s="11"/>
      <c r="R6" s="11"/>
      <c r="S6" s="11"/>
      <c r="U6" s="4" t="s">
        <v>14</v>
      </c>
      <c r="V6" s="13">
        <v>40</v>
      </c>
      <c r="W6" s="13">
        <v>225.3</v>
      </c>
      <c r="X6" s="13">
        <v>225</v>
      </c>
      <c r="Y6" s="13">
        <v>9</v>
      </c>
      <c r="Z6" s="11"/>
      <c r="AA6" s="11"/>
      <c r="AB6" s="11"/>
      <c r="AC6" s="11"/>
      <c r="AE6" s="4" t="s">
        <v>14</v>
      </c>
      <c r="AF6" s="10">
        <v>30</v>
      </c>
      <c r="AG6" s="10">
        <v>216.56</v>
      </c>
      <c r="AH6" s="10">
        <v>425</v>
      </c>
      <c r="AI6" s="10">
        <v>12.75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31</v>
      </c>
      <c r="G9" s="16">
        <v>55.51</v>
      </c>
      <c r="H9" s="16">
        <v>110.32</v>
      </c>
      <c r="I9" s="16">
        <v>3.42</v>
      </c>
      <c r="K9" s="9" t="s">
        <v>16</v>
      </c>
      <c r="L9" s="13"/>
      <c r="M9" s="13"/>
      <c r="N9" s="13"/>
      <c r="O9" s="13"/>
      <c r="P9" s="16">
        <v>39</v>
      </c>
      <c r="Q9" s="16">
        <v>54.43</v>
      </c>
      <c r="R9" s="16">
        <v>116.15</v>
      </c>
      <c r="S9" s="16">
        <v>4.53</v>
      </c>
      <c r="U9" s="9" t="s">
        <v>16</v>
      </c>
      <c r="V9" s="13"/>
      <c r="W9" s="13"/>
      <c r="X9" s="13"/>
      <c r="Y9" s="13"/>
      <c r="Z9" s="16">
        <v>2</v>
      </c>
      <c r="AA9" s="16">
        <v>127.5</v>
      </c>
      <c r="AB9" s="16">
        <v>380</v>
      </c>
      <c r="AC9" s="16">
        <v>0.76</v>
      </c>
      <c r="AE9" s="9" t="s">
        <v>16</v>
      </c>
      <c r="AF9" s="13"/>
      <c r="AG9" s="13"/>
      <c r="AH9" s="13"/>
      <c r="AI9" s="13"/>
      <c r="AJ9" s="16">
        <v>19</v>
      </c>
      <c r="AK9" s="16">
        <v>81.319999999999993</v>
      </c>
      <c r="AL9" s="16">
        <v>160</v>
      </c>
      <c r="AM9" s="16">
        <v>3.04</v>
      </c>
    </row>
    <row r="10" spans="1:39" ht="15.75" customHeight="1">
      <c r="A10" s="4" t="s">
        <v>17</v>
      </c>
      <c r="B10" s="13">
        <v>32</v>
      </c>
      <c r="C10" s="13">
        <v>151.25</v>
      </c>
      <c r="D10" s="13">
        <v>72.906000000000006</v>
      </c>
      <c r="E10" s="13">
        <v>2.33</v>
      </c>
      <c r="F10" s="16">
        <v>40</v>
      </c>
      <c r="G10" s="16">
        <v>47.125</v>
      </c>
      <c r="H10" s="16">
        <v>86.75</v>
      </c>
      <c r="I10" s="16">
        <v>3.47</v>
      </c>
      <c r="K10" s="4" t="s">
        <v>17</v>
      </c>
      <c r="L10" s="13">
        <v>10</v>
      </c>
      <c r="M10" s="13">
        <v>182.2</v>
      </c>
      <c r="N10" s="13">
        <v>280</v>
      </c>
      <c r="O10" s="13">
        <v>2.8</v>
      </c>
      <c r="P10" s="16">
        <v>13</v>
      </c>
      <c r="Q10" s="16">
        <v>5.29</v>
      </c>
      <c r="R10" s="16">
        <v>173.84</v>
      </c>
      <c r="S10" s="16">
        <v>2.2599999999999998</v>
      </c>
      <c r="U10" s="4" t="s">
        <v>17</v>
      </c>
      <c r="V10" s="13">
        <v>19</v>
      </c>
      <c r="W10" s="13">
        <v>192.05</v>
      </c>
      <c r="X10" s="13">
        <v>255.79</v>
      </c>
      <c r="Y10" s="13">
        <v>4.8600000000000003</v>
      </c>
      <c r="Z10" s="16">
        <v>40</v>
      </c>
      <c r="AA10" s="16">
        <v>38.03</v>
      </c>
      <c r="AB10" s="16">
        <v>74.5</v>
      </c>
      <c r="AC10" s="16">
        <v>2.98</v>
      </c>
      <c r="AE10" s="4" t="s">
        <v>17</v>
      </c>
      <c r="AF10" s="13">
        <v>9</v>
      </c>
      <c r="AG10" s="13">
        <v>335</v>
      </c>
      <c r="AH10" s="13">
        <v>838.89</v>
      </c>
      <c r="AI10" s="13">
        <v>7.55</v>
      </c>
      <c r="AJ10" s="16">
        <v>13</v>
      </c>
      <c r="AK10" s="16">
        <v>54.85</v>
      </c>
      <c r="AL10" s="16">
        <v>122.31</v>
      </c>
      <c r="AM10" s="16">
        <v>1.59</v>
      </c>
    </row>
    <row r="11" spans="1:39" ht="15.75" customHeight="1">
      <c r="A11" s="4" t="s">
        <v>18</v>
      </c>
      <c r="B11" s="13">
        <v>18</v>
      </c>
      <c r="C11" s="13">
        <v>169.27</v>
      </c>
      <c r="D11" s="13">
        <v>184.4</v>
      </c>
      <c r="E11" s="13">
        <v>3.32</v>
      </c>
      <c r="F11" s="16">
        <v>10</v>
      </c>
      <c r="G11" s="16">
        <v>59.5</v>
      </c>
      <c r="H11" s="16">
        <v>136</v>
      </c>
      <c r="I11" s="16">
        <v>1.36</v>
      </c>
      <c r="K11" s="4" t="s">
        <v>18</v>
      </c>
      <c r="L11" s="23">
        <v>25</v>
      </c>
      <c r="M11" s="24">
        <v>177</v>
      </c>
      <c r="N11" s="24">
        <v>195.6</v>
      </c>
      <c r="O11" s="24">
        <v>4.8899999999999997</v>
      </c>
      <c r="P11" s="27">
        <v>10</v>
      </c>
      <c r="Q11" s="27">
        <v>34</v>
      </c>
      <c r="R11" s="27">
        <v>60</v>
      </c>
      <c r="S11" s="27">
        <v>0.6</v>
      </c>
      <c r="U11" s="4" t="s">
        <v>18</v>
      </c>
      <c r="V11" s="13">
        <v>20</v>
      </c>
      <c r="W11" s="13">
        <v>221.75</v>
      </c>
      <c r="X11" s="13">
        <v>322.5</v>
      </c>
      <c r="Y11" s="13">
        <v>6.45</v>
      </c>
      <c r="Z11" s="16">
        <v>8</v>
      </c>
      <c r="AA11" s="16">
        <v>37.75</v>
      </c>
      <c r="AB11" s="16">
        <v>38.75</v>
      </c>
      <c r="AC11" s="16">
        <v>0.31</v>
      </c>
      <c r="AE11" s="4" t="s">
        <v>18</v>
      </c>
      <c r="AF11" s="13">
        <v>18</v>
      </c>
      <c r="AG11" s="13">
        <v>273.16000000000003</v>
      </c>
      <c r="AH11" s="13">
        <v>490.56</v>
      </c>
      <c r="AI11" s="13">
        <v>8.83</v>
      </c>
      <c r="AJ11" s="16">
        <v>7</v>
      </c>
      <c r="AK11" s="16">
        <v>25.23</v>
      </c>
      <c r="AL11" s="16">
        <v>30</v>
      </c>
      <c r="AM11" s="16">
        <v>0.21</v>
      </c>
    </row>
    <row r="12" spans="1:39" ht="15.75" customHeight="1">
      <c r="A12" s="4" t="s">
        <v>14</v>
      </c>
      <c r="B12" s="13">
        <v>40</v>
      </c>
      <c r="C12" s="13">
        <v>180.74</v>
      </c>
      <c r="D12" s="13">
        <v>197.25</v>
      </c>
      <c r="E12" s="13">
        <v>7.89</v>
      </c>
      <c r="F12" s="16"/>
      <c r="G12" s="16"/>
      <c r="H12" s="16"/>
      <c r="I12" s="16"/>
      <c r="K12" s="4" t="s">
        <v>14</v>
      </c>
      <c r="L12" s="25">
        <v>40</v>
      </c>
      <c r="M12" s="26">
        <v>186.77500000000001</v>
      </c>
      <c r="N12" s="26">
        <v>206.5</v>
      </c>
      <c r="O12" s="26">
        <v>8.26</v>
      </c>
      <c r="P12" s="16"/>
      <c r="Q12" s="16"/>
      <c r="R12" s="16"/>
      <c r="S12" s="16"/>
      <c r="U12" s="4" t="s">
        <v>14</v>
      </c>
      <c r="V12" s="13">
        <v>40</v>
      </c>
      <c r="W12" s="13">
        <v>225.3</v>
      </c>
      <c r="X12" s="13">
        <v>225</v>
      </c>
      <c r="Y12" s="13">
        <v>9</v>
      </c>
      <c r="Z12" s="16"/>
      <c r="AA12" s="16"/>
      <c r="AB12" s="16"/>
      <c r="AC12" s="16"/>
      <c r="AE12" s="4" t="s">
        <v>14</v>
      </c>
      <c r="AF12" s="10">
        <v>30</v>
      </c>
      <c r="AG12" s="10">
        <v>216.56</v>
      </c>
      <c r="AH12" s="10">
        <v>425</v>
      </c>
      <c r="AI12" s="10">
        <v>12.75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>
        <v>31</v>
      </c>
      <c r="G15" s="16">
        <v>55.51</v>
      </c>
      <c r="H15" s="16">
        <v>110.32</v>
      </c>
      <c r="I15" s="16">
        <v>3.42</v>
      </c>
      <c r="K15" s="9" t="s">
        <v>19</v>
      </c>
      <c r="L15" s="12"/>
      <c r="M15" s="12"/>
      <c r="N15" s="12"/>
      <c r="O15" s="12"/>
      <c r="P15" s="16">
        <v>39</v>
      </c>
      <c r="Q15" s="16">
        <v>54.43</v>
      </c>
      <c r="R15" s="16">
        <v>116.15</v>
      </c>
      <c r="S15" s="16">
        <v>4.53</v>
      </c>
      <c r="U15" s="9" t="s">
        <v>19</v>
      </c>
      <c r="V15" s="12"/>
      <c r="W15" s="12"/>
      <c r="X15" s="12"/>
      <c r="Y15" s="12"/>
      <c r="Z15" s="16">
        <v>2</v>
      </c>
      <c r="AA15" s="16">
        <v>127.5</v>
      </c>
      <c r="AB15" s="16">
        <v>380</v>
      </c>
      <c r="AC15" s="16">
        <v>0.76</v>
      </c>
      <c r="AE15" s="9" t="s">
        <v>19</v>
      </c>
      <c r="AF15" s="12"/>
      <c r="AG15" s="12"/>
      <c r="AH15" s="12"/>
      <c r="AI15" s="12"/>
      <c r="AJ15" s="16">
        <v>19</v>
      </c>
      <c r="AK15" s="16">
        <v>81.319999999999993</v>
      </c>
      <c r="AL15" s="16">
        <v>160</v>
      </c>
      <c r="AM15" s="16">
        <v>3.04</v>
      </c>
    </row>
    <row r="16" spans="1:39" ht="15.75" customHeight="1">
      <c r="A16" s="4" t="s">
        <v>20</v>
      </c>
      <c r="B16" s="12">
        <v>10</v>
      </c>
      <c r="C16" s="12">
        <v>27.4</v>
      </c>
      <c r="D16" s="12">
        <v>31</v>
      </c>
      <c r="E16" s="12">
        <v>0.31</v>
      </c>
      <c r="F16" s="16">
        <v>20</v>
      </c>
      <c r="G16" s="16">
        <v>42.35</v>
      </c>
      <c r="H16" s="16">
        <v>121</v>
      </c>
      <c r="I16" s="16">
        <v>2.42</v>
      </c>
      <c r="K16" s="4" t="s">
        <v>20</v>
      </c>
      <c r="L16" s="28">
        <v>10</v>
      </c>
      <c r="M16" s="29">
        <v>42.2</v>
      </c>
      <c r="N16" s="29">
        <v>55</v>
      </c>
      <c r="O16" s="29">
        <v>0.55000000000000004</v>
      </c>
      <c r="P16" s="30">
        <v>18</v>
      </c>
      <c r="Q16" s="30">
        <v>52.66</v>
      </c>
      <c r="R16" s="30">
        <v>149.44</v>
      </c>
      <c r="S16" s="30">
        <v>2.69</v>
      </c>
      <c r="U16" s="4" t="s">
        <v>20</v>
      </c>
      <c r="V16" s="12">
        <v>10</v>
      </c>
      <c r="W16" s="12">
        <v>47.7</v>
      </c>
      <c r="X16" s="12">
        <v>88</v>
      </c>
      <c r="Y16" s="12">
        <v>0.88</v>
      </c>
      <c r="Z16" s="16">
        <v>20</v>
      </c>
      <c r="AA16" s="16">
        <v>44.95</v>
      </c>
      <c r="AB16" s="16">
        <v>92</v>
      </c>
      <c r="AC16" s="16">
        <v>1.84</v>
      </c>
      <c r="AE16" s="4" t="s">
        <v>20</v>
      </c>
      <c r="AF16" s="12">
        <v>9</v>
      </c>
      <c r="AG16" s="12">
        <v>61.74</v>
      </c>
      <c r="AH16" s="12">
        <v>118.8</v>
      </c>
      <c r="AI16" s="12">
        <v>1.07</v>
      </c>
      <c r="AJ16" s="16">
        <v>11</v>
      </c>
      <c r="AK16" s="16">
        <v>95.36</v>
      </c>
      <c r="AL16" s="16">
        <v>230.9</v>
      </c>
      <c r="AM16" s="16">
        <v>2.54</v>
      </c>
    </row>
    <row r="17" spans="1:39" ht="15.75" customHeight="1">
      <c r="A17" s="4" t="s">
        <v>21</v>
      </c>
      <c r="B17" s="12">
        <v>37</v>
      </c>
      <c r="C17" s="12">
        <v>36.97</v>
      </c>
      <c r="D17" s="12">
        <v>36.22</v>
      </c>
      <c r="E17" s="12">
        <v>1.34</v>
      </c>
      <c r="F17" s="16">
        <v>19</v>
      </c>
      <c r="G17" s="16">
        <v>34.840000000000003</v>
      </c>
      <c r="H17" s="16">
        <v>48.95</v>
      </c>
      <c r="I17" s="16">
        <v>0.93</v>
      </c>
      <c r="K17" s="4" t="s">
        <v>21</v>
      </c>
      <c r="L17" s="12">
        <v>27</v>
      </c>
      <c r="M17" s="12">
        <v>3.81</v>
      </c>
      <c r="N17" s="12">
        <v>51.85</v>
      </c>
      <c r="O17" s="12">
        <v>1.4</v>
      </c>
      <c r="P17" s="16">
        <v>14</v>
      </c>
      <c r="Q17" s="16">
        <v>4.51</v>
      </c>
      <c r="R17" s="16">
        <v>113.57</v>
      </c>
      <c r="S17" s="16">
        <v>1.59</v>
      </c>
      <c r="U17" s="4" t="s">
        <v>21</v>
      </c>
      <c r="V17" s="12">
        <v>20</v>
      </c>
      <c r="W17" s="12">
        <v>56.05</v>
      </c>
      <c r="X17" s="12">
        <v>88.5</v>
      </c>
      <c r="Y17" s="12">
        <v>1.77</v>
      </c>
      <c r="Z17" s="16">
        <v>10</v>
      </c>
      <c r="AA17" s="16">
        <v>31.7</v>
      </c>
      <c r="AB17" s="16">
        <v>95.4</v>
      </c>
      <c r="AC17" s="16">
        <v>0.95</v>
      </c>
      <c r="AE17" s="4" t="s">
        <v>21</v>
      </c>
      <c r="AF17" s="12">
        <v>13</v>
      </c>
      <c r="AG17" s="12">
        <v>61.84</v>
      </c>
      <c r="AH17" s="12">
        <v>130.77000000000001</v>
      </c>
      <c r="AI17" s="12">
        <v>1.7</v>
      </c>
      <c r="AJ17" s="16">
        <v>9</v>
      </c>
      <c r="AK17" s="16">
        <v>76.67</v>
      </c>
      <c r="AL17" s="16">
        <v>192.2</v>
      </c>
      <c r="AM17" s="16">
        <v>1.73</v>
      </c>
    </row>
    <row r="18" spans="1:39" ht="15.75" customHeight="1">
      <c r="A18" s="4" t="s">
        <v>22</v>
      </c>
      <c r="B18" s="12">
        <v>40</v>
      </c>
      <c r="C18" s="12">
        <v>42.75</v>
      </c>
      <c r="D18" s="12">
        <v>54.75</v>
      </c>
      <c r="E18" s="12">
        <v>2.19</v>
      </c>
      <c r="F18" s="16"/>
      <c r="G18" s="16"/>
      <c r="H18" s="16"/>
      <c r="I18" s="16"/>
      <c r="K18" s="4" t="s">
        <v>22</v>
      </c>
      <c r="L18" s="12">
        <v>40</v>
      </c>
      <c r="M18" s="12">
        <v>59.2</v>
      </c>
      <c r="N18" s="12">
        <v>267.75</v>
      </c>
      <c r="O18" s="12">
        <v>10.71</v>
      </c>
      <c r="P18" s="16"/>
      <c r="Q18" s="16"/>
      <c r="R18" s="16"/>
      <c r="S18" s="16"/>
      <c r="U18" s="4" t="s">
        <v>22</v>
      </c>
      <c r="V18" s="11">
        <v>30</v>
      </c>
      <c r="W18" s="11">
        <v>89.47</v>
      </c>
      <c r="X18" s="11">
        <v>109</v>
      </c>
      <c r="Y18" s="11">
        <v>3.27</v>
      </c>
      <c r="Z18" s="16"/>
      <c r="AA18" s="16"/>
      <c r="AB18" s="16"/>
      <c r="AC18" s="16"/>
      <c r="AE18" s="4" t="s">
        <v>22</v>
      </c>
      <c r="AF18" s="12">
        <v>25</v>
      </c>
      <c r="AG18" s="12">
        <v>61.32</v>
      </c>
      <c r="AH18" s="12">
        <v>135.6</v>
      </c>
      <c r="AI18" s="12">
        <v>3.39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1000"/>
  <sheetViews>
    <sheetView workbookViewId="0">
      <selection activeCell="AK10" sqref="AK10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2">
        <v>13</v>
      </c>
      <c r="G3" s="12">
        <v>26.384599999999999</v>
      </c>
      <c r="H3" s="12">
        <v>42.3</v>
      </c>
      <c r="I3" s="12">
        <v>0.55000000000000004</v>
      </c>
      <c r="K3" s="9" t="s">
        <v>11</v>
      </c>
      <c r="L3" s="10"/>
      <c r="M3" s="10"/>
      <c r="N3" s="10"/>
      <c r="O3" s="10"/>
      <c r="P3" s="11">
        <v>23</v>
      </c>
      <c r="Q3" s="11">
        <v>45.08</v>
      </c>
      <c r="R3" s="11">
        <v>61.74</v>
      </c>
      <c r="S3" s="11">
        <v>1.42</v>
      </c>
      <c r="U3" s="9" t="s">
        <v>11</v>
      </c>
      <c r="V3" s="10"/>
      <c r="W3" s="10"/>
      <c r="X3" s="10"/>
      <c r="Y3" s="10"/>
      <c r="Z3" s="12">
        <v>21</v>
      </c>
      <c r="AA3" s="12">
        <v>56.7</v>
      </c>
      <c r="AB3" s="12">
        <v>102.9</v>
      </c>
      <c r="AC3" s="12">
        <v>2.16</v>
      </c>
      <c r="AE3" s="9" t="s">
        <v>11</v>
      </c>
      <c r="AF3" s="10"/>
      <c r="AG3" s="10"/>
      <c r="AH3" s="10"/>
      <c r="AI3" s="10"/>
      <c r="AJ3" s="11">
        <v>26</v>
      </c>
      <c r="AK3" s="11">
        <v>63.73</v>
      </c>
      <c r="AL3" s="11">
        <v>118.08</v>
      </c>
      <c r="AM3" s="11">
        <v>3.07</v>
      </c>
    </row>
    <row r="4" spans="1:39" ht="15.75" customHeight="1">
      <c r="A4" s="4" t="s">
        <v>12</v>
      </c>
      <c r="B4" s="10">
        <v>10</v>
      </c>
      <c r="C4" s="10">
        <v>164.3</v>
      </c>
      <c r="D4" s="10">
        <v>202</v>
      </c>
      <c r="E4" s="10">
        <v>2.02</v>
      </c>
      <c r="F4" s="11">
        <v>11</v>
      </c>
      <c r="G4" s="11">
        <v>15.05</v>
      </c>
      <c r="H4" s="11">
        <v>20.9</v>
      </c>
      <c r="I4" s="11">
        <v>0.23</v>
      </c>
      <c r="K4" s="4" t="s">
        <v>12</v>
      </c>
      <c r="L4" s="10">
        <v>9</v>
      </c>
      <c r="M4" s="10">
        <v>142.22</v>
      </c>
      <c r="N4" s="10">
        <v>150</v>
      </c>
      <c r="O4" s="10">
        <v>1.35</v>
      </c>
      <c r="P4" s="11">
        <v>13</v>
      </c>
      <c r="Q4" s="11">
        <v>32.31</v>
      </c>
      <c r="R4" s="11">
        <v>40</v>
      </c>
      <c r="S4" s="11">
        <v>0.52</v>
      </c>
      <c r="U4" s="4" t="s">
        <v>12</v>
      </c>
      <c r="V4" s="10">
        <v>9</v>
      </c>
      <c r="W4" s="10">
        <v>263.8</v>
      </c>
      <c r="X4" s="10">
        <v>735.55499999999995</v>
      </c>
      <c r="Y4" s="10">
        <v>6.62</v>
      </c>
      <c r="Z4" s="11">
        <v>14</v>
      </c>
      <c r="AA4" s="11">
        <v>46.6</v>
      </c>
      <c r="AB4" s="11">
        <v>101.4</v>
      </c>
      <c r="AC4" s="11">
        <v>1.42</v>
      </c>
      <c r="AE4" s="4" t="s">
        <v>12</v>
      </c>
      <c r="AF4" s="10">
        <v>10</v>
      </c>
      <c r="AG4" s="10">
        <v>235.5</v>
      </c>
      <c r="AH4" s="10">
        <v>480</v>
      </c>
      <c r="AI4" s="10">
        <v>4.8</v>
      </c>
      <c r="AJ4" s="11">
        <v>11</v>
      </c>
      <c r="AK4" s="11">
        <v>44.27</v>
      </c>
      <c r="AL4" s="11">
        <v>57.27</v>
      </c>
      <c r="AM4" s="11">
        <v>0.63</v>
      </c>
    </row>
    <row r="5" spans="1:39" ht="15.75" customHeight="1">
      <c r="A5" s="4" t="s">
        <v>13</v>
      </c>
      <c r="B5" s="10">
        <v>20</v>
      </c>
      <c r="C5" s="10">
        <v>158.4</v>
      </c>
      <c r="D5" s="10">
        <v>207.5</v>
      </c>
      <c r="E5" s="10">
        <v>4.1500000000000004</v>
      </c>
      <c r="F5" s="11">
        <v>6</v>
      </c>
      <c r="G5" s="11">
        <v>25</v>
      </c>
      <c r="H5" s="11">
        <v>30</v>
      </c>
      <c r="I5" s="11">
        <v>0.18</v>
      </c>
      <c r="K5" s="4" t="s">
        <v>13</v>
      </c>
      <c r="L5" s="10">
        <v>20</v>
      </c>
      <c r="M5" s="10">
        <v>161.44999999999999</v>
      </c>
      <c r="N5" s="10">
        <v>162</v>
      </c>
      <c r="O5" s="10">
        <v>3.24</v>
      </c>
      <c r="P5" s="11">
        <v>12</v>
      </c>
      <c r="Q5" s="11">
        <v>41.58</v>
      </c>
      <c r="R5" s="11">
        <v>40</v>
      </c>
      <c r="S5" s="11">
        <v>0.48</v>
      </c>
      <c r="U5" s="4" t="s">
        <v>13</v>
      </c>
      <c r="V5" s="10">
        <v>20</v>
      </c>
      <c r="W5" s="10">
        <v>218</v>
      </c>
      <c r="X5" s="10">
        <v>414</v>
      </c>
      <c r="Y5" s="10">
        <v>8.2799999999999994</v>
      </c>
      <c r="Z5" s="11">
        <v>7</v>
      </c>
      <c r="AA5" s="11">
        <v>40.9</v>
      </c>
      <c r="AB5" s="11">
        <v>71.400000000000006</v>
      </c>
      <c r="AC5" s="11">
        <v>0.5</v>
      </c>
      <c r="AE5" s="4" t="s">
        <v>13</v>
      </c>
      <c r="AF5" s="10">
        <v>20</v>
      </c>
      <c r="AG5" s="10">
        <v>244.5</v>
      </c>
      <c r="AH5" s="10">
        <v>439.5</v>
      </c>
      <c r="AI5" s="10">
        <v>8.7899999999999991</v>
      </c>
      <c r="AJ5" s="11">
        <v>7</v>
      </c>
      <c r="AK5" s="11">
        <v>38.700000000000003</v>
      </c>
      <c r="AL5" s="11">
        <v>57.1</v>
      </c>
      <c r="AM5" s="11">
        <v>0.4</v>
      </c>
    </row>
    <row r="6" spans="1:39" ht="15.75" customHeight="1">
      <c r="A6" s="4" t="s">
        <v>14</v>
      </c>
      <c r="B6" s="10">
        <v>29</v>
      </c>
      <c r="C6" s="10">
        <v>167.96</v>
      </c>
      <c r="D6" s="10">
        <v>158.80000000000001</v>
      </c>
      <c r="E6" s="10">
        <v>5.39</v>
      </c>
      <c r="F6" s="11"/>
      <c r="G6" s="11"/>
      <c r="H6" s="11"/>
      <c r="I6" s="11"/>
      <c r="K6" s="4" t="s">
        <v>14</v>
      </c>
      <c r="L6" s="10">
        <v>29</v>
      </c>
      <c r="M6" s="10">
        <v>176.38</v>
      </c>
      <c r="N6" s="10">
        <v>173.45</v>
      </c>
      <c r="O6" s="10">
        <v>5.03</v>
      </c>
      <c r="P6" s="11"/>
      <c r="Q6" s="11"/>
      <c r="R6" s="11"/>
      <c r="S6" s="11"/>
      <c r="U6" s="4" t="s">
        <v>14</v>
      </c>
      <c r="V6" s="13">
        <v>28</v>
      </c>
      <c r="W6" s="13">
        <v>216.7</v>
      </c>
      <c r="X6" s="13">
        <v>358.2</v>
      </c>
      <c r="Y6" s="13">
        <v>10.029999999999999</v>
      </c>
      <c r="Z6" s="11"/>
      <c r="AA6" s="11"/>
      <c r="AB6" s="11"/>
      <c r="AC6" s="11"/>
      <c r="AE6" s="4" t="s">
        <v>14</v>
      </c>
      <c r="AF6" s="10">
        <v>30</v>
      </c>
      <c r="AG6" s="10">
        <v>239.33</v>
      </c>
      <c r="AH6" s="10">
        <v>412.33</v>
      </c>
      <c r="AI6" s="10">
        <v>12.37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20</v>
      </c>
      <c r="G9" s="16">
        <v>44.35</v>
      </c>
      <c r="H9" s="16">
        <v>95</v>
      </c>
      <c r="I9" s="16">
        <v>1.9</v>
      </c>
      <c r="K9" s="9" t="s">
        <v>16</v>
      </c>
      <c r="L9" s="13"/>
      <c r="M9" s="13"/>
      <c r="N9" s="13"/>
      <c r="O9" s="13"/>
      <c r="P9" s="16">
        <v>16</v>
      </c>
      <c r="Q9" s="16">
        <v>53.56</v>
      </c>
      <c r="R9" s="16">
        <v>156.25</v>
      </c>
      <c r="S9" s="16">
        <v>2.5</v>
      </c>
      <c r="U9" s="9" t="s">
        <v>16</v>
      </c>
      <c r="V9" s="13"/>
      <c r="W9" s="13"/>
      <c r="X9" s="13"/>
      <c r="Y9" s="13"/>
      <c r="Z9" s="16">
        <v>19</v>
      </c>
      <c r="AA9" s="16">
        <v>50.95</v>
      </c>
      <c r="AB9" s="16">
        <v>127.9</v>
      </c>
      <c r="AC9" s="16">
        <v>2.4</v>
      </c>
      <c r="AE9" s="9" t="s">
        <v>16</v>
      </c>
      <c r="AF9" s="13"/>
      <c r="AG9" s="13"/>
      <c r="AH9" s="13"/>
      <c r="AI9" s="13"/>
      <c r="AJ9" s="16">
        <v>18</v>
      </c>
      <c r="AK9" s="16">
        <v>66.8</v>
      </c>
      <c r="AL9" s="16">
        <v>117.78</v>
      </c>
      <c r="AM9" s="16">
        <v>2.12</v>
      </c>
    </row>
    <row r="10" spans="1:39" ht="15.75" customHeight="1">
      <c r="A10" s="4" t="s">
        <v>17</v>
      </c>
      <c r="B10" s="13">
        <v>11</v>
      </c>
      <c r="C10" s="13">
        <v>173.73</v>
      </c>
      <c r="D10" s="13">
        <v>218</v>
      </c>
      <c r="E10" s="13">
        <v>2.4</v>
      </c>
      <c r="F10" s="16">
        <v>18</v>
      </c>
      <c r="G10" s="16">
        <v>48</v>
      </c>
      <c r="H10" s="16">
        <v>96</v>
      </c>
      <c r="I10" s="16">
        <v>1.34</v>
      </c>
      <c r="K10" s="4" t="s">
        <v>17</v>
      </c>
      <c r="L10" s="13">
        <v>10</v>
      </c>
      <c r="M10" s="13">
        <v>182.9</v>
      </c>
      <c r="N10" s="13">
        <v>192</v>
      </c>
      <c r="O10" s="13">
        <v>1.92</v>
      </c>
      <c r="P10" s="16">
        <v>14</v>
      </c>
      <c r="Q10" s="16">
        <v>48.57</v>
      </c>
      <c r="R10" s="16">
        <v>92.86</v>
      </c>
      <c r="S10" s="16">
        <v>1.3</v>
      </c>
      <c r="U10" s="4" t="s">
        <v>17</v>
      </c>
      <c r="V10" s="13">
        <v>9</v>
      </c>
      <c r="W10" s="13">
        <v>232.6</v>
      </c>
      <c r="X10" s="13">
        <v>488.9</v>
      </c>
      <c r="Y10" s="13">
        <v>4.4000000000000004</v>
      </c>
      <c r="Z10" s="16">
        <v>9</v>
      </c>
      <c r="AA10" s="16">
        <v>78.400000000000006</v>
      </c>
      <c r="AB10" s="16">
        <v>216.7</v>
      </c>
      <c r="AC10" s="16">
        <v>1.95</v>
      </c>
      <c r="AE10" s="4" t="s">
        <v>17</v>
      </c>
      <c r="AF10" s="13">
        <v>10</v>
      </c>
      <c r="AG10" s="13">
        <v>214.2</v>
      </c>
      <c r="AH10" s="13">
        <v>410</v>
      </c>
      <c r="AI10" s="13">
        <v>4.0999999999999996</v>
      </c>
      <c r="AJ10" s="16">
        <v>16</v>
      </c>
      <c r="AK10" s="16">
        <v>68.12</v>
      </c>
      <c r="AL10" s="16">
        <v>171.25</v>
      </c>
      <c r="AM10" s="16">
        <v>2.74</v>
      </c>
    </row>
    <row r="11" spans="1:39" ht="15.75" customHeight="1">
      <c r="A11" s="4" t="s">
        <v>18</v>
      </c>
      <c r="B11" s="13">
        <v>21</v>
      </c>
      <c r="C11" s="13">
        <v>163.47999999999999</v>
      </c>
      <c r="D11" s="13">
        <v>168</v>
      </c>
      <c r="E11" s="13">
        <v>3.53</v>
      </c>
      <c r="F11" s="16">
        <v>4</v>
      </c>
      <c r="G11" s="16">
        <v>50</v>
      </c>
      <c r="H11" s="16">
        <v>103</v>
      </c>
      <c r="I11" s="16">
        <v>0.41</v>
      </c>
      <c r="K11" s="4" t="s">
        <v>18</v>
      </c>
      <c r="L11" s="13">
        <v>19</v>
      </c>
      <c r="M11" s="13">
        <v>172</v>
      </c>
      <c r="N11" s="13">
        <v>184.74</v>
      </c>
      <c r="O11" s="13">
        <v>3.51</v>
      </c>
      <c r="P11" s="16">
        <v>4</v>
      </c>
      <c r="Q11" s="16">
        <v>76.75</v>
      </c>
      <c r="R11" s="16">
        <v>180</v>
      </c>
      <c r="S11" s="16">
        <v>0.72</v>
      </c>
      <c r="U11" s="4" t="s">
        <v>18</v>
      </c>
      <c r="V11" s="13">
        <v>20</v>
      </c>
      <c r="W11" s="13">
        <v>247</v>
      </c>
      <c r="X11" s="13">
        <v>457</v>
      </c>
      <c r="Y11" s="13">
        <v>9.14</v>
      </c>
      <c r="Z11" s="16">
        <v>10</v>
      </c>
      <c r="AA11" s="16">
        <v>69.2</v>
      </c>
      <c r="AB11" s="16">
        <v>205</v>
      </c>
      <c r="AC11" s="16">
        <v>2.0499999999999998</v>
      </c>
      <c r="AE11" s="4" t="s">
        <v>18</v>
      </c>
      <c r="AF11" s="13">
        <v>19</v>
      </c>
      <c r="AG11" s="13">
        <v>210.82</v>
      </c>
      <c r="AH11" s="13">
        <v>341.053</v>
      </c>
      <c r="AI11" s="13">
        <v>6.48</v>
      </c>
      <c r="AJ11" s="16">
        <v>9</v>
      </c>
      <c r="AK11" s="16">
        <v>79.02</v>
      </c>
      <c r="AL11" s="16">
        <v>165.56</v>
      </c>
      <c r="AM11" s="16">
        <v>1.49</v>
      </c>
    </row>
    <row r="12" spans="1:39" ht="15.75" customHeight="1">
      <c r="A12" s="4" t="s">
        <v>14</v>
      </c>
      <c r="B12" s="10">
        <v>29</v>
      </c>
      <c r="C12" s="10">
        <v>167.96</v>
      </c>
      <c r="D12" s="10">
        <v>185.86</v>
      </c>
      <c r="E12" s="10">
        <v>5.39</v>
      </c>
      <c r="F12" s="16"/>
      <c r="G12" s="16"/>
      <c r="H12" s="16"/>
      <c r="I12" s="16"/>
      <c r="K12" s="4" t="s">
        <v>14</v>
      </c>
      <c r="L12" s="10">
        <v>29</v>
      </c>
      <c r="M12" s="10">
        <v>176.38</v>
      </c>
      <c r="N12" s="10">
        <v>173.45</v>
      </c>
      <c r="O12" s="10">
        <v>5.03</v>
      </c>
      <c r="P12" s="16"/>
      <c r="Q12" s="16"/>
      <c r="R12" s="16"/>
      <c r="S12" s="16"/>
      <c r="U12" s="4" t="s">
        <v>14</v>
      </c>
      <c r="V12" s="13">
        <v>28</v>
      </c>
      <c r="W12" s="13">
        <v>216.7</v>
      </c>
      <c r="X12" s="13">
        <v>358.2</v>
      </c>
      <c r="Y12" s="13">
        <v>10.029999999999999</v>
      </c>
      <c r="Z12" s="16"/>
      <c r="AA12" s="16"/>
      <c r="AB12" s="16"/>
      <c r="AC12" s="16"/>
      <c r="AE12" s="4" t="s">
        <v>14</v>
      </c>
      <c r="AF12" s="10">
        <v>30</v>
      </c>
      <c r="AG12" s="10">
        <v>239.33</v>
      </c>
      <c r="AH12" s="10">
        <v>412.33</v>
      </c>
      <c r="AI12" s="10">
        <v>12.37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>
        <v>20</v>
      </c>
      <c r="G15" s="16">
        <v>44.35</v>
      </c>
      <c r="H15" s="16">
        <v>95</v>
      </c>
      <c r="I15" s="16">
        <v>1.9</v>
      </c>
      <c r="K15" s="9" t="s">
        <v>19</v>
      </c>
      <c r="L15" s="12"/>
      <c r="M15" s="12"/>
      <c r="N15" s="12"/>
      <c r="O15" s="12"/>
      <c r="P15" s="16">
        <v>16</v>
      </c>
      <c r="Q15" s="16">
        <v>53.56</v>
      </c>
      <c r="R15" s="16">
        <v>156.25</v>
      </c>
      <c r="S15" s="16">
        <v>2.5</v>
      </c>
      <c r="U15" s="9" t="s">
        <v>19</v>
      </c>
      <c r="V15" s="12"/>
      <c r="W15" s="12"/>
      <c r="X15" s="12"/>
      <c r="Y15" s="12"/>
      <c r="Z15" s="16">
        <v>19</v>
      </c>
      <c r="AA15" s="16">
        <v>50.95</v>
      </c>
      <c r="AB15" s="16">
        <v>127.9</v>
      </c>
      <c r="AC15" s="16">
        <v>2.4</v>
      </c>
      <c r="AE15" s="9" t="s">
        <v>19</v>
      </c>
      <c r="AF15" s="12"/>
      <c r="AG15" s="12"/>
      <c r="AH15" s="12"/>
      <c r="AI15" s="12"/>
      <c r="AJ15" s="16">
        <v>18</v>
      </c>
      <c r="AK15" s="16">
        <v>66.8</v>
      </c>
      <c r="AL15" s="16">
        <v>117.78</v>
      </c>
      <c r="AM15" s="16">
        <v>2.12</v>
      </c>
    </row>
    <row r="16" spans="1:39" ht="15.75" customHeight="1">
      <c r="A16" s="4" t="s">
        <v>20</v>
      </c>
      <c r="B16" s="12">
        <v>4</v>
      </c>
      <c r="C16" s="12">
        <v>31.75</v>
      </c>
      <c r="D16" s="12">
        <v>35</v>
      </c>
      <c r="E16" s="12">
        <v>0.14000000000000001</v>
      </c>
      <c r="F16" s="16">
        <v>12</v>
      </c>
      <c r="G16" s="16">
        <v>56.25</v>
      </c>
      <c r="H16" s="16">
        <v>162</v>
      </c>
      <c r="I16" s="16">
        <v>1.95</v>
      </c>
      <c r="K16" s="4" t="s">
        <v>20</v>
      </c>
      <c r="L16" s="12">
        <v>6</v>
      </c>
      <c r="M16" s="12">
        <v>36</v>
      </c>
      <c r="N16" s="12">
        <v>48.3</v>
      </c>
      <c r="O16" s="12">
        <v>0.28999999999999998</v>
      </c>
      <c r="P16" s="16">
        <v>10</v>
      </c>
      <c r="Q16" s="16">
        <v>59.1</v>
      </c>
      <c r="R16" s="16">
        <v>128</v>
      </c>
      <c r="S16" s="16">
        <v>1.28</v>
      </c>
      <c r="U16" s="4" t="s">
        <v>20</v>
      </c>
      <c r="V16" s="12">
        <v>7</v>
      </c>
      <c r="W16" s="12">
        <v>48.4</v>
      </c>
      <c r="X16" s="12">
        <v>72.900000000000006</v>
      </c>
      <c r="Y16" s="12">
        <v>0.51</v>
      </c>
      <c r="Z16" s="16">
        <v>18</v>
      </c>
      <c r="AA16" s="16">
        <v>61.6</v>
      </c>
      <c r="AB16" s="16">
        <v>172.8</v>
      </c>
      <c r="AC16" s="16">
        <v>3.1</v>
      </c>
      <c r="AE16" s="4" t="s">
        <v>20</v>
      </c>
      <c r="AF16" s="12">
        <v>6</v>
      </c>
      <c r="AG16" s="12">
        <v>49</v>
      </c>
      <c r="AH16" s="12">
        <v>138.30000000000001</v>
      </c>
      <c r="AI16" s="12">
        <v>0.83</v>
      </c>
      <c r="AJ16" s="16">
        <v>14</v>
      </c>
      <c r="AK16" s="16">
        <v>96.5</v>
      </c>
      <c r="AL16" s="16">
        <v>212.9</v>
      </c>
      <c r="AM16" s="16">
        <v>2.98</v>
      </c>
    </row>
    <row r="17" spans="1:39" ht="15.75" customHeight="1">
      <c r="A17" s="4" t="s">
        <v>21</v>
      </c>
      <c r="B17" s="12">
        <v>20</v>
      </c>
      <c r="C17" s="12">
        <v>33.549999999999997</v>
      </c>
      <c r="D17" s="12">
        <v>52.5</v>
      </c>
      <c r="E17" s="12">
        <v>1.05</v>
      </c>
      <c r="F17" s="16">
        <v>8</v>
      </c>
      <c r="G17" s="16">
        <v>37.875</v>
      </c>
      <c r="H17" s="16">
        <v>91</v>
      </c>
      <c r="I17" s="16">
        <v>0.73</v>
      </c>
      <c r="K17" s="4" t="s">
        <v>21</v>
      </c>
      <c r="L17" s="12">
        <v>10</v>
      </c>
      <c r="M17" s="12">
        <v>33.200000000000003</v>
      </c>
      <c r="N17" s="12">
        <v>35</v>
      </c>
      <c r="O17" s="12">
        <v>0.35</v>
      </c>
      <c r="P17" s="16">
        <v>7</v>
      </c>
      <c r="Q17" s="16">
        <v>79.290000000000006</v>
      </c>
      <c r="R17" s="16">
        <v>261.43</v>
      </c>
      <c r="S17" s="16">
        <v>1.83</v>
      </c>
      <c r="U17" s="4" t="s">
        <v>21</v>
      </c>
      <c r="V17" s="12">
        <v>17</v>
      </c>
      <c r="W17" s="12">
        <v>61.7</v>
      </c>
      <c r="X17" s="12">
        <v>81.180000000000007</v>
      </c>
      <c r="Y17" s="12">
        <v>1.4</v>
      </c>
      <c r="Z17" s="16">
        <v>9</v>
      </c>
      <c r="AA17" s="16">
        <v>65.400000000000006</v>
      </c>
      <c r="AB17" s="16">
        <v>148.9</v>
      </c>
      <c r="AC17" s="16">
        <v>1.34</v>
      </c>
      <c r="AE17" s="4" t="s">
        <v>21</v>
      </c>
      <c r="AF17" s="12">
        <v>14</v>
      </c>
      <c r="AG17" s="12">
        <v>47.8</v>
      </c>
      <c r="AH17" s="12">
        <v>79.3</v>
      </c>
      <c r="AI17" s="12">
        <v>1.1100000000000001</v>
      </c>
      <c r="AJ17" s="16">
        <v>5</v>
      </c>
      <c r="AK17" s="16">
        <v>92.2</v>
      </c>
      <c r="AL17" s="16">
        <v>212</v>
      </c>
      <c r="AM17" s="16">
        <v>1.06</v>
      </c>
    </row>
    <row r="18" spans="1:39" ht="15.75" customHeight="1">
      <c r="A18" s="4" t="s">
        <v>22</v>
      </c>
      <c r="B18" s="12">
        <v>13</v>
      </c>
      <c r="C18" s="12">
        <v>26.384599999999999</v>
      </c>
      <c r="D18" s="12">
        <v>42.3</v>
      </c>
      <c r="E18" s="12">
        <v>0.55000000000000004</v>
      </c>
      <c r="F18" s="16"/>
      <c r="G18" s="16"/>
      <c r="H18" s="16"/>
      <c r="I18" s="16"/>
      <c r="K18" s="4" t="s">
        <v>22</v>
      </c>
      <c r="L18" s="11">
        <v>23</v>
      </c>
      <c r="M18" s="11">
        <v>45.08</v>
      </c>
      <c r="N18" s="11">
        <v>61.74</v>
      </c>
      <c r="O18" s="11">
        <v>1.42</v>
      </c>
      <c r="P18" s="16"/>
      <c r="Q18" s="16"/>
      <c r="R18" s="16"/>
      <c r="S18" s="16"/>
      <c r="U18" s="4" t="s">
        <v>22</v>
      </c>
      <c r="V18" s="12">
        <v>21</v>
      </c>
      <c r="W18" s="12">
        <v>56.7</v>
      </c>
      <c r="X18" s="12">
        <v>102.9</v>
      </c>
      <c r="Y18" s="12">
        <v>2.16</v>
      </c>
      <c r="Z18" s="16"/>
      <c r="AA18" s="16"/>
      <c r="AB18" s="16"/>
      <c r="AC18" s="16"/>
      <c r="AE18" s="4" t="s">
        <v>22</v>
      </c>
      <c r="AF18" s="11">
        <v>26</v>
      </c>
      <c r="AG18" s="11">
        <v>63.73</v>
      </c>
      <c r="AH18" s="11">
        <v>118.08</v>
      </c>
      <c r="AI18" s="11">
        <v>3.07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1000"/>
  <sheetViews>
    <sheetView workbookViewId="0">
      <selection activeCell="AA16" sqref="AA16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2">
        <v>16</v>
      </c>
      <c r="G3" s="12">
        <v>32.93</v>
      </c>
      <c r="H3" s="12">
        <v>34.375</v>
      </c>
      <c r="I3" s="12">
        <v>0.55000000000000004</v>
      </c>
      <c r="K3" s="9" t="s">
        <v>11</v>
      </c>
      <c r="L3" s="10"/>
      <c r="M3" s="10"/>
      <c r="N3" s="10"/>
      <c r="O3" s="10"/>
      <c r="P3" s="12">
        <v>23</v>
      </c>
      <c r="Q3" s="12">
        <v>3.5</v>
      </c>
      <c r="R3" s="12">
        <v>54.78</v>
      </c>
      <c r="S3" s="12">
        <v>1.26</v>
      </c>
      <c r="U3" s="9" t="s">
        <v>11</v>
      </c>
      <c r="V3" s="10"/>
      <c r="W3" s="10"/>
      <c r="X3" s="10"/>
      <c r="Y3" s="10"/>
      <c r="Z3" s="12">
        <v>25</v>
      </c>
      <c r="AA3" s="12">
        <v>51.72</v>
      </c>
      <c r="AB3" s="12">
        <v>105.2</v>
      </c>
      <c r="AC3" s="12">
        <v>2.63</v>
      </c>
      <c r="AE3" s="9" t="s">
        <v>11</v>
      </c>
      <c r="AF3" s="10"/>
      <c r="AG3" s="10"/>
      <c r="AH3" s="10"/>
      <c r="AI3" s="10"/>
      <c r="AJ3" s="12">
        <v>12</v>
      </c>
      <c r="AK3" s="12">
        <v>43.96</v>
      </c>
      <c r="AL3" s="12">
        <v>56.67</v>
      </c>
      <c r="AM3" s="12">
        <v>0.68</v>
      </c>
    </row>
    <row r="4" spans="1:39" ht="15.75" customHeight="1">
      <c r="A4" s="4" t="s">
        <v>12</v>
      </c>
      <c r="B4" s="10">
        <v>10</v>
      </c>
      <c r="C4" s="10">
        <v>176</v>
      </c>
      <c r="D4" s="10">
        <v>176</v>
      </c>
      <c r="E4" s="10">
        <v>1.76</v>
      </c>
      <c r="F4" s="11">
        <v>7</v>
      </c>
      <c r="G4" s="11">
        <v>27.3</v>
      </c>
      <c r="H4" s="11">
        <v>38.6</v>
      </c>
      <c r="I4" s="11">
        <v>0.27</v>
      </c>
      <c r="K4" s="4" t="s">
        <v>12</v>
      </c>
      <c r="L4" s="10">
        <v>9</v>
      </c>
      <c r="M4" s="10">
        <v>163.33000000000001</v>
      </c>
      <c r="N4" s="10">
        <v>223.33</v>
      </c>
      <c r="O4" s="10">
        <v>2.0099999999999998</v>
      </c>
      <c r="P4" s="11">
        <v>11</v>
      </c>
      <c r="Q4" s="11">
        <v>27.54</v>
      </c>
      <c r="R4" s="11">
        <v>30</v>
      </c>
      <c r="S4" s="11">
        <v>0.33</v>
      </c>
      <c r="U4" s="4" t="s">
        <v>12</v>
      </c>
      <c r="V4" s="10">
        <v>9</v>
      </c>
      <c r="W4" s="10">
        <v>262.39999999999998</v>
      </c>
      <c r="X4" s="10">
        <v>489</v>
      </c>
      <c r="Y4" s="10">
        <v>4.4000000000000004</v>
      </c>
      <c r="Z4" s="11">
        <v>16</v>
      </c>
      <c r="AA4" s="11">
        <v>48.6</v>
      </c>
      <c r="AB4" s="11">
        <v>76.3</v>
      </c>
      <c r="AC4" s="11">
        <v>1.22</v>
      </c>
      <c r="AE4" s="4" t="s">
        <v>12</v>
      </c>
      <c r="AF4" s="10">
        <v>9</v>
      </c>
      <c r="AG4" s="10">
        <v>229.33</v>
      </c>
      <c r="AH4" s="10">
        <v>386.6</v>
      </c>
      <c r="AI4" s="10">
        <v>3.48</v>
      </c>
      <c r="AJ4" s="11">
        <v>14</v>
      </c>
      <c r="AK4" s="11">
        <v>38.85</v>
      </c>
      <c r="AL4" s="11">
        <v>50</v>
      </c>
      <c r="AM4" s="11">
        <v>0.7</v>
      </c>
    </row>
    <row r="5" spans="1:39" ht="15.75" customHeight="1">
      <c r="A5" s="4" t="s">
        <v>13</v>
      </c>
      <c r="B5" s="10">
        <v>18</v>
      </c>
      <c r="C5" s="10">
        <v>174.6</v>
      </c>
      <c r="D5" s="10">
        <v>170.55</v>
      </c>
      <c r="E5" s="10">
        <v>3.07</v>
      </c>
      <c r="F5" s="11">
        <v>9</v>
      </c>
      <c r="G5" s="11">
        <v>25.8</v>
      </c>
      <c r="H5" s="11">
        <v>28.8</v>
      </c>
      <c r="I5" s="11">
        <v>0.26</v>
      </c>
      <c r="K5" s="4" t="s">
        <v>13</v>
      </c>
      <c r="L5" s="10">
        <v>20</v>
      </c>
      <c r="M5" s="10">
        <v>173.9</v>
      </c>
      <c r="N5" s="10">
        <v>214.5</v>
      </c>
      <c r="O5" s="10">
        <v>4.29</v>
      </c>
      <c r="P5" s="11">
        <v>6</v>
      </c>
      <c r="Q5" s="11">
        <v>35.33</v>
      </c>
      <c r="R5" s="11">
        <v>38.33</v>
      </c>
      <c r="S5" s="11">
        <v>0.23</v>
      </c>
      <c r="U5" s="4" t="s">
        <v>13</v>
      </c>
      <c r="V5" s="10">
        <v>20</v>
      </c>
      <c r="W5" s="10">
        <v>255.5</v>
      </c>
      <c r="X5" s="10">
        <v>451.5</v>
      </c>
      <c r="Y5" s="10">
        <v>9.0299999999999994</v>
      </c>
      <c r="Z5" s="11">
        <v>5</v>
      </c>
      <c r="AA5" s="11">
        <v>49.2</v>
      </c>
      <c r="AB5" s="11">
        <v>68</v>
      </c>
      <c r="AC5" s="11">
        <v>0.34</v>
      </c>
      <c r="AE5" s="4" t="s">
        <v>13</v>
      </c>
      <c r="AF5" s="10">
        <v>19</v>
      </c>
      <c r="AG5" s="10">
        <v>229.59</v>
      </c>
      <c r="AH5" s="10">
        <v>375.26</v>
      </c>
      <c r="AI5" s="10">
        <v>7.13</v>
      </c>
      <c r="AJ5" s="11">
        <v>2</v>
      </c>
      <c r="AK5" s="11">
        <v>37</v>
      </c>
      <c r="AL5" s="11">
        <v>40</v>
      </c>
      <c r="AM5" s="11">
        <v>0.08</v>
      </c>
    </row>
    <row r="6" spans="1:39" ht="15.75" customHeight="1">
      <c r="A6" s="4" t="s">
        <v>14</v>
      </c>
      <c r="B6" s="13">
        <v>28</v>
      </c>
      <c r="C6" s="13">
        <v>171.161</v>
      </c>
      <c r="D6" s="13">
        <v>177.857</v>
      </c>
      <c r="E6" s="13">
        <v>4.9800000000000004</v>
      </c>
      <c r="F6" s="11"/>
      <c r="G6" s="11"/>
      <c r="H6" s="11"/>
      <c r="I6" s="11"/>
      <c r="K6" s="4" t="s">
        <v>14</v>
      </c>
      <c r="L6" s="10">
        <v>29</v>
      </c>
      <c r="M6" s="10">
        <v>162.79</v>
      </c>
      <c r="N6" s="10">
        <v>185.17</v>
      </c>
      <c r="O6" s="10">
        <v>5.37</v>
      </c>
      <c r="P6" s="11"/>
      <c r="Q6" s="11"/>
      <c r="R6" s="11"/>
      <c r="S6" s="11"/>
      <c r="U6" s="4" t="s">
        <v>14</v>
      </c>
      <c r="V6" s="10">
        <v>28</v>
      </c>
      <c r="W6" s="10">
        <v>243.36</v>
      </c>
      <c r="X6" s="10">
        <v>392</v>
      </c>
      <c r="Y6" s="10">
        <v>10.98</v>
      </c>
      <c r="Z6" s="12"/>
      <c r="AA6" s="12"/>
      <c r="AB6" s="12"/>
      <c r="AC6" s="12"/>
      <c r="AE6" s="4" t="s">
        <v>14</v>
      </c>
      <c r="AF6" s="13">
        <v>29</v>
      </c>
      <c r="AG6" s="13">
        <v>253.24</v>
      </c>
      <c r="AH6" s="13">
        <v>412</v>
      </c>
      <c r="AI6" s="13">
        <v>11.95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16</v>
      </c>
      <c r="G9" s="16">
        <v>52.064999999999998</v>
      </c>
      <c r="H9" s="16">
        <v>133.125</v>
      </c>
      <c r="I9" s="16">
        <v>2.13</v>
      </c>
      <c r="K9" s="9" t="s">
        <v>16</v>
      </c>
      <c r="L9" s="13"/>
      <c r="M9" s="13"/>
      <c r="N9" s="13"/>
      <c r="O9" s="13"/>
      <c r="P9" s="16">
        <v>17</v>
      </c>
      <c r="Q9" s="16">
        <v>61.11</v>
      </c>
      <c r="R9" s="16">
        <v>146.47</v>
      </c>
      <c r="S9" s="16">
        <v>2.4900000000000002</v>
      </c>
      <c r="U9" s="9" t="s">
        <v>16</v>
      </c>
      <c r="V9" s="13"/>
      <c r="W9" s="13"/>
      <c r="X9" s="13"/>
      <c r="Y9" s="13"/>
      <c r="Z9" s="16">
        <v>20</v>
      </c>
      <c r="AA9" s="16">
        <v>69.650000000000006</v>
      </c>
      <c r="AB9" s="16">
        <v>113.5</v>
      </c>
      <c r="AC9" s="16">
        <v>2.27</v>
      </c>
      <c r="AE9" s="9" t="s">
        <v>16</v>
      </c>
      <c r="AF9" s="13"/>
      <c r="AG9" s="13"/>
      <c r="AH9" s="13"/>
      <c r="AI9" s="13"/>
      <c r="AJ9" s="16">
        <v>19</v>
      </c>
      <c r="AK9" s="16">
        <v>58.68</v>
      </c>
      <c r="AL9" s="16">
        <v>114</v>
      </c>
      <c r="AM9" s="16">
        <v>2.17</v>
      </c>
    </row>
    <row r="10" spans="1:39" ht="15.75" customHeight="1">
      <c r="A10" s="4" t="s">
        <v>17</v>
      </c>
      <c r="B10" s="13">
        <v>10</v>
      </c>
      <c r="C10" s="13">
        <v>158.9</v>
      </c>
      <c r="D10" s="13">
        <v>169</v>
      </c>
      <c r="E10" s="13">
        <v>1.69</v>
      </c>
      <c r="F10" s="16">
        <v>3</v>
      </c>
      <c r="G10" s="16">
        <v>41.33</v>
      </c>
      <c r="H10" s="16">
        <v>173.33</v>
      </c>
      <c r="I10" s="32">
        <v>0.52</v>
      </c>
      <c r="K10" s="4" t="s">
        <v>17</v>
      </c>
      <c r="L10" s="13">
        <v>9</v>
      </c>
      <c r="M10" s="13">
        <v>158.33000000000001</v>
      </c>
      <c r="N10" s="13">
        <v>183.33</v>
      </c>
      <c r="O10" s="13">
        <v>1.65</v>
      </c>
      <c r="P10" s="16">
        <v>20</v>
      </c>
      <c r="Q10" s="16">
        <v>51.8</v>
      </c>
      <c r="R10" s="16">
        <v>135.5</v>
      </c>
      <c r="S10" s="16">
        <v>2.71</v>
      </c>
      <c r="U10" s="4" t="s">
        <v>17</v>
      </c>
      <c r="V10" s="13">
        <v>10</v>
      </c>
      <c r="W10" s="13">
        <v>252.9</v>
      </c>
      <c r="X10" s="13">
        <v>486.25</v>
      </c>
      <c r="Y10" s="13">
        <v>4.8600000000000003</v>
      </c>
      <c r="Z10" s="16">
        <v>11</v>
      </c>
      <c r="AA10" s="16">
        <v>59.27</v>
      </c>
      <c r="AB10" s="16">
        <v>110.2</v>
      </c>
      <c r="AC10" s="16">
        <v>1.21</v>
      </c>
      <c r="AE10" s="4" t="s">
        <v>17</v>
      </c>
      <c r="AF10" s="13">
        <v>10</v>
      </c>
      <c r="AG10" s="13">
        <v>214.1</v>
      </c>
      <c r="AH10" s="13">
        <v>449</v>
      </c>
      <c r="AI10" s="13">
        <v>4.49</v>
      </c>
      <c r="AJ10" s="16">
        <v>8</v>
      </c>
      <c r="AK10" s="16">
        <v>54.875</v>
      </c>
      <c r="AL10" s="16">
        <v>115</v>
      </c>
      <c r="AM10" s="16">
        <v>0.92</v>
      </c>
    </row>
    <row r="11" spans="1:39" ht="15.75" customHeight="1">
      <c r="A11" s="4" t="s">
        <v>18</v>
      </c>
      <c r="B11" s="13">
        <v>19</v>
      </c>
      <c r="C11" s="13">
        <v>152.21100000000001</v>
      </c>
      <c r="D11" s="13">
        <v>208.947</v>
      </c>
      <c r="E11" s="13">
        <v>3.97</v>
      </c>
      <c r="F11" s="16">
        <v>3</v>
      </c>
      <c r="G11" s="16">
        <v>18</v>
      </c>
      <c r="H11" s="16">
        <v>13.3</v>
      </c>
      <c r="I11" s="16">
        <v>0.04</v>
      </c>
      <c r="K11" s="4" t="s">
        <v>18</v>
      </c>
      <c r="L11" s="13">
        <v>19</v>
      </c>
      <c r="M11" s="13">
        <v>141.1</v>
      </c>
      <c r="N11" s="13">
        <v>151.57</v>
      </c>
      <c r="O11" s="13">
        <v>2.88</v>
      </c>
      <c r="P11" s="16">
        <v>9</v>
      </c>
      <c r="Q11" s="16">
        <v>54.55</v>
      </c>
      <c r="R11" s="16">
        <v>144.44</v>
      </c>
      <c r="S11" s="16">
        <v>1.3</v>
      </c>
      <c r="U11" s="4" t="s">
        <v>18</v>
      </c>
      <c r="V11" s="13">
        <v>20</v>
      </c>
      <c r="W11" s="13">
        <v>230.75</v>
      </c>
      <c r="X11" s="13">
        <v>429</v>
      </c>
      <c r="Y11" s="13">
        <v>8.58</v>
      </c>
      <c r="Z11" s="16">
        <v>6</v>
      </c>
      <c r="AA11" s="16">
        <v>51.5</v>
      </c>
      <c r="AB11" s="16">
        <v>91.67</v>
      </c>
      <c r="AC11" s="16">
        <v>0.55000000000000004</v>
      </c>
      <c r="AE11" s="4" t="s">
        <v>18</v>
      </c>
      <c r="AF11" s="13">
        <v>20</v>
      </c>
      <c r="AG11" s="13">
        <v>239.1</v>
      </c>
      <c r="AH11" s="13">
        <v>355.5</v>
      </c>
      <c r="AI11" s="13">
        <v>7.11</v>
      </c>
      <c r="AJ11" s="16">
        <v>3</v>
      </c>
      <c r="AK11" s="16">
        <v>50.34</v>
      </c>
      <c r="AL11" s="16">
        <v>123.34</v>
      </c>
      <c r="AM11" s="16">
        <v>0.37</v>
      </c>
    </row>
    <row r="12" spans="1:39" ht="15.75" customHeight="1">
      <c r="A12" s="4" t="s">
        <v>14</v>
      </c>
      <c r="B12" s="13">
        <v>28</v>
      </c>
      <c r="C12" s="13">
        <v>171.161</v>
      </c>
      <c r="D12" s="13">
        <v>177.857</v>
      </c>
      <c r="E12" s="13">
        <v>4.9800000000000004</v>
      </c>
      <c r="F12" s="16"/>
      <c r="G12" s="16"/>
      <c r="H12" s="16"/>
      <c r="I12" s="16"/>
      <c r="K12" s="4" t="s">
        <v>14</v>
      </c>
      <c r="L12" s="10">
        <v>29</v>
      </c>
      <c r="M12" s="10">
        <v>162.79</v>
      </c>
      <c r="N12" s="10">
        <v>185.17</v>
      </c>
      <c r="O12" s="10">
        <v>5.37</v>
      </c>
      <c r="P12" s="16"/>
      <c r="Q12" s="16"/>
      <c r="R12" s="16"/>
      <c r="S12" s="16"/>
      <c r="U12" s="4" t="s">
        <v>14</v>
      </c>
      <c r="V12" s="10">
        <v>28</v>
      </c>
      <c r="W12" s="10">
        <v>243.36</v>
      </c>
      <c r="X12" s="10">
        <v>392.14</v>
      </c>
      <c r="Y12" s="10">
        <v>10.98</v>
      </c>
      <c r="Z12" s="16"/>
      <c r="AA12" s="16"/>
      <c r="AB12" s="16"/>
      <c r="AC12" s="16"/>
      <c r="AE12" s="4" t="s">
        <v>14</v>
      </c>
      <c r="AF12" s="13">
        <v>29</v>
      </c>
      <c r="AG12" s="13">
        <v>253.24</v>
      </c>
      <c r="AH12" s="13">
        <v>412</v>
      </c>
      <c r="AI12" s="13">
        <v>11.95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>
        <v>16</v>
      </c>
      <c r="G15" s="16">
        <v>52.064999999999998</v>
      </c>
      <c r="H15" s="16">
        <v>133.125</v>
      </c>
      <c r="I15" s="16">
        <v>2.13</v>
      </c>
      <c r="K15" s="9" t="s">
        <v>19</v>
      </c>
      <c r="L15" s="12"/>
      <c r="M15" s="12"/>
      <c r="N15" s="12"/>
      <c r="O15" s="12"/>
      <c r="P15" s="16">
        <v>17</v>
      </c>
      <c r="Q15" s="16">
        <v>61.11</v>
      </c>
      <c r="R15" s="16">
        <v>146.47</v>
      </c>
      <c r="S15" s="16">
        <v>2.4900000000000002</v>
      </c>
      <c r="U15" s="9" t="s">
        <v>19</v>
      </c>
      <c r="V15" s="12"/>
      <c r="W15" s="12"/>
      <c r="X15" s="12"/>
      <c r="Y15" s="12"/>
      <c r="Z15" s="16">
        <v>20</v>
      </c>
      <c r="AA15" s="16">
        <v>69.650000000000006</v>
      </c>
      <c r="AB15" s="16">
        <v>113.5</v>
      </c>
      <c r="AC15" s="16">
        <v>2.27</v>
      </c>
      <c r="AE15" s="9" t="s">
        <v>19</v>
      </c>
      <c r="AF15" s="12"/>
      <c r="AG15" s="12"/>
      <c r="AH15" s="12"/>
      <c r="AI15" s="12"/>
      <c r="AJ15" s="16">
        <v>19</v>
      </c>
      <c r="AK15" s="16">
        <v>58.68</v>
      </c>
      <c r="AL15" s="16">
        <v>516.84</v>
      </c>
      <c r="AM15" s="16">
        <v>9.82</v>
      </c>
    </row>
    <row r="16" spans="1:39" ht="15.75" customHeight="1">
      <c r="A16" s="4" t="s">
        <v>20</v>
      </c>
      <c r="B16" s="12">
        <v>7</v>
      </c>
      <c r="C16" s="12">
        <v>31.86</v>
      </c>
      <c r="D16" s="12">
        <v>47.14</v>
      </c>
      <c r="E16" s="12">
        <v>0.33</v>
      </c>
      <c r="F16" s="16">
        <v>14</v>
      </c>
      <c r="G16" s="16">
        <v>58.71</v>
      </c>
      <c r="H16" s="16">
        <v>146.43</v>
      </c>
      <c r="I16" s="16">
        <v>2.0499999999999998</v>
      </c>
      <c r="K16" s="4" t="s">
        <v>20</v>
      </c>
      <c r="L16" s="12">
        <v>5</v>
      </c>
      <c r="M16" s="12">
        <v>3.5</v>
      </c>
      <c r="N16" s="12">
        <v>34</v>
      </c>
      <c r="O16" s="12">
        <v>0.17</v>
      </c>
      <c r="P16" s="16">
        <v>16</v>
      </c>
      <c r="Q16" s="16">
        <v>5.66</v>
      </c>
      <c r="R16" s="16">
        <v>131.87</v>
      </c>
      <c r="S16" s="16">
        <v>2.11</v>
      </c>
      <c r="U16" s="4" t="s">
        <v>20</v>
      </c>
      <c r="V16" s="12">
        <v>7</v>
      </c>
      <c r="W16" s="12">
        <v>60</v>
      </c>
      <c r="X16" s="12">
        <v>158.57</v>
      </c>
      <c r="Y16" s="12">
        <v>1.1100000000000001</v>
      </c>
      <c r="Z16" s="16">
        <v>12</v>
      </c>
      <c r="AA16" s="16">
        <v>79.92</v>
      </c>
      <c r="AB16" s="16">
        <v>196.67</v>
      </c>
      <c r="AC16" s="16">
        <v>2.36</v>
      </c>
      <c r="AE16" s="4" t="s">
        <v>20</v>
      </c>
      <c r="AF16" s="12">
        <v>9</v>
      </c>
      <c r="AG16" s="12">
        <v>44.277000000000001</v>
      </c>
      <c r="AH16" s="12">
        <v>43.33</v>
      </c>
      <c r="AI16" s="12">
        <v>0.39</v>
      </c>
      <c r="AJ16" s="16">
        <v>11</v>
      </c>
      <c r="AK16" s="16">
        <v>68</v>
      </c>
      <c r="AL16" s="16">
        <v>176.36</v>
      </c>
      <c r="AM16" s="16">
        <v>1.94</v>
      </c>
    </row>
    <row r="17" spans="1:39" ht="15.75" customHeight="1">
      <c r="A17" s="4" t="s">
        <v>21</v>
      </c>
      <c r="B17" s="12">
        <v>11</v>
      </c>
      <c r="C17" s="12">
        <v>26.545000000000002</v>
      </c>
      <c r="D17" s="12">
        <v>32.5</v>
      </c>
      <c r="E17" s="12">
        <v>0.35749999999999998</v>
      </c>
      <c r="F17" s="16">
        <v>5</v>
      </c>
      <c r="G17" s="16">
        <v>68</v>
      </c>
      <c r="H17" s="16">
        <v>186.14</v>
      </c>
      <c r="I17" s="16">
        <v>0.93069999999999997</v>
      </c>
      <c r="K17" s="4" t="s">
        <v>21</v>
      </c>
      <c r="L17" s="12">
        <v>11</v>
      </c>
      <c r="M17" s="12">
        <v>29.27</v>
      </c>
      <c r="N17" s="12">
        <v>31.81</v>
      </c>
      <c r="O17" s="12">
        <v>0.35</v>
      </c>
      <c r="P17" s="16">
        <v>7</v>
      </c>
      <c r="Q17" s="16">
        <v>57</v>
      </c>
      <c r="R17" s="16">
        <v>185.71</v>
      </c>
      <c r="S17" s="16">
        <v>1.3</v>
      </c>
      <c r="U17" s="4" t="s">
        <v>21</v>
      </c>
      <c r="V17" s="12">
        <v>14</v>
      </c>
      <c r="W17" s="12">
        <v>54</v>
      </c>
      <c r="X17" s="12">
        <v>66.430000000000007</v>
      </c>
      <c r="Y17" s="12">
        <v>0.93</v>
      </c>
      <c r="Z17" s="16">
        <v>10</v>
      </c>
      <c r="AA17" s="16">
        <v>88.3</v>
      </c>
      <c r="AB17" s="16">
        <v>211</v>
      </c>
      <c r="AC17" s="16">
        <v>2.11</v>
      </c>
      <c r="AE17" s="4" t="s">
        <v>21</v>
      </c>
      <c r="AF17" s="12">
        <v>13</v>
      </c>
      <c r="AG17" s="12">
        <v>35.42</v>
      </c>
      <c r="AH17" s="12">
        <v>50.77</v>
      </c>
      <c r="AI17" s="12">
        <v>0.66</v>
      </c>
      <c r="AJ17" s="16">
        <v>8</v>
      </c>
      <c r="AK17" s="16">
        <v>72.75</v>
      </c>
      <c r="AL17" s="16">
        <v>206.25</v>
      </c>
      <c r="AM17" s="16">
        <v>1.65</v>
      </c>
    </row>
    <row r="18" spans="1:39" ht="15.75" customHeight="1">
      <c r="A18" s="4" t="s">
        <v>22</v>
      </c>
      <c r="B18" s="12">
        <v>16</v>
      </c>
      <c r="C18" s="12">
        <v>32.93</v>
      </c>
      <c r="D18" s="12">
        <v>34.375</v>
      </c>
      <c r="E18" s="12">
        <v>0.55000000000000004</v>
      </c>
      <c r="F18" s="16"/>
      <c r="G18" s="16"/>
      <c r="H18" s="16"/>
      <c r="I18" s="16"/>
      <c r="K18" s="4" t="s">
        <v>22</v>
      </c>
      <c r="L18" s="12">
        <v>23</v>
      </c>
      <c r="M18" s="12">
        <v>3.5</v>
      </c>
      <c r="N18" s="12">
        <v>54.78</v>
      </c>
      <c r="O18" s="12">
        <v>1.26</v>
      </c>
      <c r="P18" s="16"/>
      <c r="Q18" s="16"/>
      <c r="R18" s="16"/>
      <c r="S18" s="16"/>
      <c r="U18" s="4" t="s">
        <v>22</v>
      </c>
      <c r="V18" s="12">
        <v>25</v>
      </c>
      <c r="W18" s="12">
        <v>51.72</v>
      </c>
      <c r="X18" s="12">
        <v>105.2</v>
      </c>
      <c r="Y18" s="12">
        <v>2.63</v>
      </c>
      <c r="Z18" s="16"/>
      <c r="AA18" s="16"/>
      <c r="AB18" s="16"/>
      <c r="AC18" s="16"/>
      <c r="AE18" s="4" t="s">
        <v>22</v>
      </c>
      <c r="AF18" s="12">
        <v>12</v>
      </c>
      <c r="AG18" s="12">
        <v>43.96</v>
      </c>
      <c r="AH18" s="12">
        <v>56.67</v>
      </c>
      <c r="AI18" s="12">
        <v>0.68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1000"/>
  <sheetViews>
    <sheetView workbookViewId="0">
      <selection activeCell="AA15" sqref="AA15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1">
        <v>27</v>
      </c>
      <c r="G3" s="11">
        <v>37.85</v>
      </c>
      <c r="H3" s="11">
        <v>38.9</v>
      </c>
      <c r="I3" s="11">
        <v>1.05</v>
      </c>
      <c r="K3" s="9" t="s">
        <v>11</v>
      </c>
      <c r="L3" s="10"/>
      <c r="M3" s="10"/>
      <c r="N3" s="10"/>
      <c r="O3" s="10"/>
      <c r="P3" s="11">
        <v>21</v>
      </c>
      <c r="Q3" s="11">
        <v>32.86</v>
      </c>
      <c r="R3" s="11">
        <v>40.950000000000003</v>
      </c>
      <c r="S3" s="11">
        <v>0.86</v>
      </c>
      <c r="U3" s="9" t="s">
        <v>11</v>
      </c>
      <c r="V3" s="10"/>
      <c r="W3" s="10"/>
      <c r="X3" s="10"/>
      <c r="Y3" s="10"/>
      <c r="Z3" s="12">
        <v>19</v>
      </c>
      <c r="AA3" s="12">
        <v>51.631999999999998</v>
      </c>
      <c r="AB3" s="12">
        <v>91.578999999999994</v>
      </c>
      <c r="AC3" s="12">
        <v>1.74</v>
      </c>
      <c r="AE3" s="9" t="s">
        <v>11</v>
      </c>
      <c r="AF3" s="10"/>
      <c r="AG3" s="10"/>
      <c r="AH3" s="10"/>
      <c r="AI3" s="10"/>
      <c r="AJ3" s="12">
        <v>19</v>
      </c>
      <c r="AK3" s="12">
        <v>37.68</v>
      </c>
      <c r="AL3" s="12">
        <v>79.47</v>
      </c>
      <c r="AM3" s="12">
        <v>1.5</v>
      </c>
    </row>
    <row r="4" spans="1:39" ht="15.75" customHeight="1">
      <c r="A4" s="4" t="s">
        <v>12</v>
      </c>
      <c r="B4" s="10">
        <v>9</v>
      </c>
      <c r="C4" s="10">
        <v>157.6</v>
      </c>
      <c r="D4" s="10">
        <v>148.9</v>
      </c>
      <c r="E4" s="10">
        <v>1.34</v>
      </c>
      <c r="F4" s="11">
        <v>14</v>
      </c>
      <c r="G4" s="11">
        <v>24.76</v>
      </c>
      <c r="H4" s="11">
        <v>42.856999999999999</v>
      </c>
      <c r="I4" s="11">
        <v>0.6</v>
      </c>
      <c r="K4" s="4" t="s">
        <v>12</v>
      </c>
      <c r="L4" s="10">
        <v>8</v>
      </c>
      <c r="M4" s="10">
        <v>187.5</v>
      </c>
      <c r="N4" s="10">
        <v>252.5</v>
      </c>
      <c r="O4" s="10">
        <v>2.02</v>
      </c>
      <c r="P4" s="11">
        <v>16</v>
      </c>
      <c r="Q4" s="11">
        <v>33.81</v>
      </c>
      <c r="R4" s="11">
        <v>43.13</v>
      </c>
      <c r="S4" s="11">
        <v>0.69</v>
      </c>
      <c r="U4" s="4" t="s">
        <v>12</v>
      </c>
      <c r="V4" s="10">
        <v>18</v>
      </c>
      <c r="W4" s="10">
        <v>201.67</v>
      </c>
      <c r="X4" s="10">
        <v>354.44400000000002</v>
      </c>
      <c r="Y4" s="10">
        <v>6.38</v>
      </c>
      <c r="Z4" s="11">
        <v>14</v>
      </c>
      <c r="AA4" s="11">
        <v>41.79</v>
      </c>
      <c r="AB4" s="11">
        <v>47.86</v>
      </c>
      <c r="AC4" s="11">
        <v>0.67</v>
      </c>
      <c r="AE4" s="4" t="s">
        <v>12</v>
      </c>
      <c r="AF4" s="10">
        <v>10</v>
      </c>
      <c r="AG4" s="10">
        <v>230.5</v>
      </c>
      <c r="AH4" s="10">
        <v>492</v>
      </c>
      <c r="AI4" s="10">
        <v>4.92</v>
      </c>
      <c r="AJ4" s="11">
        <v>19</v>
      </c>
      <c r="AK4" s="11">
        <v>38.049999999999997</v>
      </c>
      <c r="AL4" s="11">
        <v>50.53</v>
      </c>
      <c r="AM4" s="11">
        <v>0.96</v>
      </c>
    </row>
    <row r="5" spans="1:39" ht="15.75" customHeight="1">
      <c r="A5" s="4" t="s">
        <v>13</v>
      </c>
      <c r="B5" s="10">
        <v>20</v>
      </c>
      <c r="C5" s="10">
        <v>165.25</v>
      </c>
      <c r="D5" s="10">
        <v>145</v>
      </c>
      <c r="E5" s="10">
        <v>2.9</v>
      </c>
      <c r="F5" s="11">
        <v>9</v>
      </c>
      <c r="G5" s="11">
        <v>28.1</v>
      </c>
      <c r="H5" s="11">
        <v>33.33</v>
      </c>
      <c r="I5" s="11">
        <v>0.3</v>
      </c>
      <c r="K5" s="4" t="s">
        <v>13</v>
      </c>
      <c r="L5" s="10">
        <v>16</v>
      </c>
      <c r="M5" s="10">
        <v>143.56</v>
      </c>
      <c r="N5" s="10">
        <v>171.88</v>
      </c>
      <c r="O5" s="10">
        <v>2.75</v>
      </c>
      <c r="P5" s="11">
        <v>10</v>
      </c>
      <c r="Q5" s="11">
        <v>27.9</v>
      </c>
      <c r="R5" s="11">
        <v>25</v>
      </c>
      <c r="S5" s="11">
        <v>0.25</v>
      </c>
      <c r="U5" s="4" t="s">
        <v>13</v>
      </c>
      <c r="V5" s="10">
        <v>20</v>
      </c>
      <c r="W5" s="10">
        <v>227.25</v>
      </c>
      <c r="X5" s="10">
        <v>481</v>
      </c>
      <c r="Y5" s="10">
        <v>9.6199999999999992</v>
      </c>
      <c r="Z5" s="11">
        <v>8</v>
      </c>
      <c r="AA5" s="11">
        <v>49.125</v>
      </c>
      <c r="AB5" s="11">
        <v>66.25</v>
      </c>
      <c r="AC5" s="11">
        <v>0.53</v>
      </c>
      <c r="AE5" s="4" t="s">
        <v>13</v>
      </c>
      <c r="AF5" s="10">
        <v>19</v>
      </c>
      <c r="AG5" s="10">
        <v>224.5</v>
      </c>
      <c r="AH5" s="10">
        <v>418.4</v>
      </c>
      <c r="AI5" s="10">
        <v>7.95</v>
      </c>
      <c r="AJ5" s="11">
        <v>9</v>
      </c>
      <c r="AK5" s="11">
        <v>49.3</v>
      </c>
      <c r="AL5" s="11">
        <v>48.9</v>
      </c>
      <c r="AM5" s="11">
        <v>0.44</v>
      </c>
    </row>
    <row r="6" spans="1:39" ht="15.75" customHeight="1">
      <c r="A6" s="4" t="s">
        <v>14</v>
      </c>
      <c r="B6" s="13">
        <v>29</v>
      </c>
      <c r="C6" s="13">
        <v>175.72</v>
      </c>
      <c r="D6" s="13">
        <v>184.13</v>
      </c>
      <c r="E6" s="13">
        <v>5.34</v>
      </c>
      <c r="F6" s="11"/>
      <c r="G6" s="11"/>
      <c r="H6" s="11"/>
      <c r="I6" s="11"/>
      <c r="K6" s="4" t="s">
        <v>14</v>
      </c>
      <c r="L6" s="13">
        <v>30</v>
      </c>
      <c r="M6" s="13">
        <v>148.9</v>
      </c>
      <c r="N6" s="13">
        <v>162.66999999999999</v>
      </c>
      <c r="O6" s="13">
        <v>4.88</v>
      </c>
      <c r="P6" s="11"/>
      <c r="Q6" s="11"/>
      <c r="R6" s="11"/>
      <c r="S6" s="11"/>
      <c r="U6" s="4" t="s">
        <v>14</v>
      </c>
      <c r="V6" s="10">
        <v>30</v>
      </c>
      <c r="W6" s="10">
        <v>223.2</v>
      </c>
      <c r="X6" s="10">
        <v>425.33</v>
      </c>
      <c r="Y6" s="10">
        <v>12.76</v>
      </c>
      <c r="Z6" s="11"/>
      <c r="AA6" s="11"/>
      <c r="AB6" s="11"/>
      <c r="AC6" s="11"/>
      <c r="AE6" s="4" t="s">
        <v>14</v>
      </c>
      <c r="AF6" s="13">
        <v>30</v>
      </c>
      <c r="AG6" s="13">
        <v>269.77</v>
      </c>
      <c r="AH6" s="13">
        <v>411.33</v>
      </c>
      <c r="AI6" s="13">
        <v>12.34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16</v>
      </c>
      <c r="G9" s="16">
        <v>65</v>
      </c>
      <c r="H9" s="16">
        <v>181.25</v>
      </c>
      <c r="I9" s="16">
        <v>2.9</v>
      </c>
      <c r="K9" s="9" t="s">
        <v>16</v>
      </c>
      <c r="L9" s="13"/>
      <c r="M9" s="13"/>
      <c r="N9" s="13"/>
      <c r="O9" s="13"/>
      <c r="P9" s="16">
        <v>20</v>
      </c>
      <c r="Q9" s="16">
        <v>3.59</v>
      </c>
      <c r="R9" s="16">
        <v>105</v>
      </c>
      <c r="S9" s="16">
        <v>2.1</v>
      </c>
      <c r="U9" s="9" t="s">
        <v>16</v>
      </c>
      <c r="V9" s="13"/>
      <c r="W9" s="13"/>
      <c r="X9" s="13"/>
      <c r="Y9" s="13"/>
      <c r="Z9" s="16">
        <v>14</v>
      </c>
      <c r="AA9" s="16">
        <v>74.75</v>
      </c>
      <c r="AB9" s="16">
        <v>149.72</v>
      </c>
      <c r="AC9" s="16">
        <v>2.0960999999999999</v>
      </c>
      <c r="AE9" s="9" t="s">
        <v>16</v>
      </c>
      <c r="AF9" s="13"/>
      <c r="AG9" s="13"/>
      <c r="AH9" s="13"/>
      <c r="AI9" s="13"/>
      <c r="AJ9" s="16">
        <v>21</v>
      </c>
      <c r="AK9" s="16">
        <v>60.66</v>
      </c>
      <c r="AL9" s="16">
        <v>135.69999999999999</v>
      </c>
      <c r="AM9" s="16">
        <v>2.85</v>
      </c>
    </row>
    <row r="10" spans="1:39" ht="15.75" customHeight="1">
      <c r="A10" s="4" t="s">
        <v>17</v>
      </c>
      <c r="B10" s="13" t="s">
        <v>93</v>
      </c>
      <c r="C10" s="13" t="s">
        <v>93</v>
      </c>
      <c r="D10" s="13" t="s">
        <v>93</v>
      </c>
      <c r="E10" s="13" t="s">
        <v>93</v>
      </c>
      <c r="F10" s="16" t="s">
        <v>93</v>
      </c>
      <c r="G10" s="16" t="s">
        <v>93</v>
      </c>
      <c r="H10" s="16" t="s">
        <v>93</v>
      </c>
      <c r="I10" s="16" t="s">
        <v>93</v>
      </c>
      <c r="K10" s="4" t="s">
        <v>17</v>
      </c>
      <c r="L10" s="13">
        <v>10</v>
      </c>
      <c r="M10" s="13">
        <v>152.1</v>
      </c>
      <c r="N10" s="13">
        <v>162</v>
      </c>
      <c r="O10" s="13">
        <v>1.62</v>
      </c>
      <c r="P10" s="16">
        <v>14</v>
      </c>
      <c r="Q10" s="16">
        <v>66.64</v>
      </c>
      <c r="R10" s="16">
        <v>152.13999999999999</v>
      </c>
      <c r="S10" s="16">
        <v>2.13</v>
      </c>
      <c r="U10" s="4" t="s">
        <v>17</v>
      </c>
      <c r="V10" s="13">
        <v>10</v>
      </c>
      <c r="W10" s="13">
        <v>233.2</v>
      </c>
      <c r="X10" s="13">
        <v>502</v>
      </c>
      <c r="Y10" s="13">
        <v>5.0199999999999996</v>
      </c>
      <c r="Z10" s="16">
        <v>5</v>
      </c>
      <c r="AA10" s="16">
        <v>44.4</v>
      </c>
      <c r="AB10" s="16">
        <v>74.2</v>
      </c>
      <c r="AC10" s="16">
        <v>0.371</v>
      </c>
      <c r="AE10" s="4" t="s">
        <v>17</v>
      </c>
      <c r="AF10" s="13">
        <v>9</v>
      </c>
      <c r="AG10" s="13">
        <v>250.8</v>
      </c>
      <c r="AH10" s="13">
        <v>576.6</v>
      </c>
      <c r="AI10" s="13">
        <v>5.19</v>
      </c>
      <c r="AJ10" s="16">
        <v>11</v>
      </c>
      <c r="AK10" s="16">
        <v>50.27</v>
      </c>
      <c r="AL10" s="16">
        <v>131.80000000000001</v>
      </c>
      <c r="AM10" s="16">
        <v>1.45</v>
      </c>
    </row>
    <row r="11" spans="1:39" ht="15.75" customHeight="1">
      <c r="A11" s="4" t="s">
        <v>18</v>
      </c>
      <c r="B11" s="13">
        <v>20</v>
      </c>
      <c r="C11" s="13">
        <v>187.55</v>
      </c>
      <c r="D11" s="13">
        <v>168.48500000000001</v>
      </c>
      <c r="E11" s="13">
        <v>3.3687</v>
      </c>
      <c r="F11" s="16">
        <v>3</v>
      </c>
      <c r="G11" s="16">
        <v>56</v>
      </c>
      <c r="H11" s="16">
        <v>124.6</v>
      </c>
      <c r="I11" s="16">
        <v>0.37380000000000002</v>
      </c>
      <c r="K11" s="4" t="s">
        <v>18</v>
      </c>
      <c r="L11" s="13">
        <v>18</v>
      </c>
      <c r="M11" s="13">
        <v>169.78</v>
      </c>
      <c r="N11" s="13">
        <v>162.22</v>
      </c>
      <c r="O11" s="13">
        <v>2.92</v>
      </c>
      <c r="P11" s="16">
        <v>9</v>
      </c>
      <c r="Q11" s="16">
        <v>67.11</v>
      </c>
      <c r="R11" s="16">
        <v>187.78</v>
      </c>
      <c r="S11" s="16">
        <v>1.69</v>
      </c>
      <c r="U11" s="4" t="s">
        <v>18</v>
      </c>
      <c r="V11" s="13">
        <v>20</v>
      </c>
      <c r="W11" s="13">
        <v>227.05</v>
      </c>
      <c r="X11" s="13">
        <v>345.5</v>
      </c>
      <c r="Y11" s="13">
        <v>6.91</v>
      </c>
      <c r="Z11" s="16">
        <v>8</v>
      </c>
      <c r="AA11" s="16">
        <v>38</v>
      </c>
      <c r="AB11" s="16">
        <v>60.26</v>
      </c>
      <c r="AC11" s="16">
        <v>0.48199999999999998</v>
      </c>
      <c r="AE11" s="4" t="s">
        <v>18</v>
      </c>
      <c r="AF11" s="13">
        <v>20</v>
      </c>
      <c r="AG11" s="13">
        <v>224.8</v>
      </c>
      <c r="AH11" s="13">
        <v>373</v>
      </c>
      <c r="AI11" s="13">
        <v>7.46</v>
      </c>
      <c r="AJ11" s="16">
        <v>9</v>
      </c>
      <c r="AK11" s="16">
        <v>49.11</v>
      </c>
      <c r="AL11" s="16">
        <v>83.33</v>
      </c>
      <c r="AM11" s="16">
        <v>0.75</v>
      </c>
    </row>
    <row r="12" spans="1:39" ht="15.75" customHeight="1">
      <c r="A12" s="4" t="s">
        <v>14</v>
      </c>
      <c r="B12" s="13">
        <v>29</v>
      </c>
      <c r="C12" s="13">
        <v>175.72</v>
      </c>
      <c r="D12" s="13">
        <v>184.13</v>
      </c>
      <c r="E12" s="13">
        <v>5.34</v>
      </c>
      <c r="F12" s="16"/>
      <c r="G12" s="16"/>
      <c r="H12" s="16"/>
      <c r="I12" s="16"/>
      <c r="K12" s="4" t="s">
        <v>14</v>
      </c>
      <c r="L12" s="13">
        <v>30</v>
      </c>
      <c r="M12" s="13">
        <v>148.9</v>
      </c>
      <c r="N12" s="13">
        <v>162.66999999999999</v>
      </c>
      <c r="O12" s="13">
        <v>4.88</v>
      </c>
      <c r="P12" s="16"/>
      <c r="Q12" s="16"/>
      <c r="R12" s="16"/>
      <c r="S12" s="16"/>
      <c r="U12" s="4" t="s">
        <v>14</v>
      </c>
      <c r="V12" s="10">
        <v>30</v>
      </c>
      <c r="W12" s="10">
        <v>223.2</v>
      </c>
      <c r="X12" s="10">
        <v>425.33</v>
      </c>
      <c r="Y12" s="10">
        <v>12.76</v>
      </c>
      <c r="Z12" s="16"/>
      <c r="AA12" s="16"/>
      <c r="AB12" s="16"/>
      <c r="AC12" s="16"/>
      <c r="AE12" s="4" t="s">
        <v>14</v>
      </c>
      <c r="AF12" s="13">
        <v>30</v>
      </c>
      <c r="AG12" s="13">
        <v>269.77</v>
      </c>
      <c r="AH12" s="13">
        <v>411.33</v>
      </c>
      <c r="AI12" s="13">
        <v>12.34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1"/>
      <c r="C15" s="11"/>
      <c r="D15" s="11"/>
      <c r="E15" s="11"/>
      <c r="F15" s="16">
        <v>16</v>
      </c>
      <c r="G15" s="16">
        <v>65</v>
      </c>
      <c r="H15" s="16">
        <v>181.25</v>
      </c>
      <c r="I15" s="16">
        <v>2.9</v>
      </c>
      <c r="K15" s="9" t="s">
        <v>19</v>
      </c>
      <c r="L15" s="12"/>
      <c r="M15" s="12"/>
      <c r="N15" s="12"/>
      <c r="O15" s="12"/>
      <c r="P15" s="16">
        <v>20</v>
      </c>
      <c r="Q15" s="16">
        <v>3.59</v>
      </c>
      <c r="R15" s="16">
        <v>105</v>
      </c>
      <c r="S15" s="16">
        <v>2.1</v>
      </c>
      <c r="U15" s="9" t="s">
        <v>19</v>
      </c>
      <c r="V15" s="12">
        <v>0</v>
      </c>
      <c r="W15" s="12"/>
      <c r="X15" s="12"/>
      <c r="Y15" s="12"/>
      <c r="Z15" s="16">
        <v>14</v>
      </c>
      <c r="AA15" s="16">
        <v>74.75</v>
      </c>
      <c r="AB15" s="16">
        <v>149.72</v>
      </c>
      <c r="AC15" s="16">
        <v>2.0960999999999999</v>
      </c>
      <c r="AE15" s="9" t="s">
        <v>19</v>
      </c>
      <c r="AF15" s="12"/>
      <c r="AG15" s="12"/>
      <c r="AH15" s="12"/>
      <c r="AI15" s="12"/>
      <c r="AJ15" s="16">
        <v>21</v>
      </c>
      <c r="AK15" s="16">
        <v>60.66</v>
      </c>
      <c r="AL15" s="16">
        <v>135.69999999999999</v>
      </c>
      <c r="AM15" s="16">
        <v>2.85</v>
      </c>
    </row>
    <row r="16" spans="1:39" ht="15.75" customHeight="1">
      <c r="A16" s="4" t="s">
        <v>20</v>
      </c>
      <c r="B16" s="12">
        <v>4</v>
      </c>
      <c r="C16" s="12">
        <v>33</v>
      </c>
      <c r="D16" s="12">
        <v>42.5</v>
      </c>
      <c r="E16" s="12">
        <v>0.17</v>
      </c>
      <c r="F16" s="16">
        <v>13</v>
      </c>
      <c r="G16" s="16">
        <v>51.77</v>
      </c>
      <c r="H16" s="16">
        <v>113.1</v>
      </c>
      <c r="I16" s="16">
        <v>1.47</v>
      </c>
      <c r="K16" s="4" t="s">
        <v>20</v>
      </c>
      <c r="L16" s="12">
        <v>7</v>
      </c>
      <c r="M16" s="12">
        <v>39.14</v>
      </c>
      <c r="N16" s="12">
        <v>52.86</v>
      </c>
      <c r="O16" s="12">
        <v>0.37</v>
      </c>
      <c r="P16" s="16">
        <v>16</v>
      </c>
      <c r="Q16" s="16">
        <v>60.88</v>
      </c>
      <c r="R16" s="16">
        <v>173.75</v>
      </c>
      <c r="S16" s="16">
        <v>2.78</v>
      </c>
      <c r="U16" s="4" t="s">
        <v>20</v>
      </c>
      <c r="V16" s="12">
        <v>4</v>
      </c>
      <c r="W16" s="12">
        <v>45</v>
      </c>
      <c r="X16" s="12">
        <v>82.5</v>
      </c>
      <c r="Y16" s="12">
        <v>0.33</v>
      </c>
      <c r="Z16" s="16">
        <v>9</v>
      </c>
      <c r="AA16" s="16">
        <v>71.44</v>
      </c>
      <c r="AB16" s="16">
        <v>195.22</v>
      </c>
      <c r="AC16" s="16">
        <v>1.7569999999999999</v>
      </c>
      <c r="AE16" s="4" t="s">
        <v>20</v>
      </c>
      <c r="AF16" s="12">
        <v>10</v>
      </c>
      <c r="AG16" s="12">
        <v>50.6</v>
      </c>
      <c r="AH16" s="12">
        <v>80</v>
      </c>
      <c r="AI16" s="12">
        <v>0.8</v>
      </c>
      <c r="AJ16" s="16">
        <v>16</v>
      </c>
      <c r="AK16" s="16">
        <v>60.44</v>
      </c>
      <c r="AL16" s="16">
        <v>201.25</v>
      </c>
      <c r="AM16" s="16">
        <v>3.22</v>
      </c>
    </row>
    <row r="17" spans="1:39" ht="15.75" customHeight="1">
      <c r="A17" s="4" t="s">
        <v>21</v>
      </c>
      <c r="B17" s="12">
        <v>13</v>
      </c>
      <c r="C17" s="12">
        <v>31</v>
      </c>
      <c r="D17" s="12">
        <v>30.7</v>
      </c>
      <c r="E17" s="12">
        <v>0.4</v>
      </c>
      <c r="F17" s="16">
        <v>3</v>
      </c>
      <c r="G17" s="16">
        <v>102</v>
      </c>
      <c r="H17" s="16">
        <v>530</v>
      </c>
      <c r="I17" s="16">
        <v>1.59</v>
      </c>
      <c r="K17" s="4" t="s">
        <v>21</v>
      </c>
      <c r="L17" s="12">
        <v>13</v>
      </c>
      <c r="M17" s="12">
        <v>32.75</v>
      </c>
      <c r="N17" s="12">
        <v>38.46</v>
      </c>
      <c r="O17" s="12">
        <v>0.5</v>
      </c>
      <c r="P17" s="16">
        <v>8</v>
      </c>
      <c r="Q17" s="16">
        <v>79.06</v>
      </c>
      <c r="R17" s="16">
        <v>236.25</v>
      </c>
      <c r="S17" s="16">
        <v>1.89</v>
      </c>
      <c r="U17" s="4" t="s">
        <v>21</v>
      </c>
      <c r="V17" s="12">
        <v>14</v>
      </c>
      <c r="W17" s="12">
        <v>37.1</v>
      </c>
      <c r="X17" s="12">
        <v>53.6</v>
      </c>
      <c r="Y17" s="12">
        <v>0.75</v>
      </c>
      <c r="Z17" s="16">
        <v>6</v>
      </c>
      <c r="AA17" s="16">
        <v>66.8</v>
      </c>
      <c r="AB17" s="16">
        <v>218.6</v>
      </c>
      <c r="AC17" s="16">
        <v>1.3</v>
      </c>
      <c r="AE17" s="4" t="s">
        <v>21</v>
      </c>
      <c r="AF17" s="12">
        <v>13</v>
      </c>
      <c r="AG17" s="12">
        <v>54.9</v>
      </c>
      <c r="AH17" s="12">
        <v>89.23</v>
      </c>
      <c r="AI17" s="12">
        <v>1.1599999999999999</v>
      </c>
      <c r="AJ17" s="16">
        <v>8</v>
      </c>
      <c r="AK17" s="16">
        <v>78.400000000000006</v>
      </c>
      <c r="AL17" s="16">
        <v>306.3</v>
      </c>
      <c r="AM17" s="16">
        <v>2.4500000000000002</v>
      </c>
    </row>
    <row r="18" spans="1:39" ht="15.75" customHeight="1">
      <c r="A18" s="4" t="s">
        <v>22</v>
      </c>
      <c r="B18" s="11">
        <v>27</v>
      </c>
      <c r="C18" s="11">
        <v>37.85</v>
      </c>
      <c r="D18" s="11">
        <v>38.9</v>
      </c>
      <c r="E18" s="11">
        <v>1.05</v>
      </c>
      <c r="F18" s="16"/>
      <c r="G18" s="16"/>
      <c r="H18" s="16"/>
      <c r="I18" s="16"/>
      <c r="K18" s="4" t="s">
        <v>22</v>
      </c>
      <c r="L18" s="11">
        <v>21</v>
      </c>
      <c r="M18" s="11">
        <v>32.86</v>
      </c>
      <c r="N18" s="11">
        <v>40.950000000000003</v>
      </c>
      <c r="O18" s="11">
        <v>0.86</v>
      </c>
      <c r="P18" s="16"/>
      <c r="Q18" s="16"/>
      <c r="R18" s="16"/>
      <c r="S18" s="16"/>
      <c r="U18" s="4" t="s">
        <v>22</v>
      </c>
      <c r="V18" s="12">
        <v>19</v>
      </c>
      <c r="W18" s="12">
        <v>51.631999999999998</v>
      </c>
      <c r="X18" s="12">
        <v>91.578999999999994</v>
      </c>
      <c r="Y18" s="12">
        <v>1.74</v>
      </c>
      <c r="Z18" s="16"/>
      <c r="AA18" s="16"/>
      <c r="AB18" s="16"/>
      <c r="AC18" s="16"/>
      <c r="AE18" s="4" t="s">
        <v>22</v>
      </c>
      <c r="AF18" s="12">
        <v>19</v>
      </c>
      <c r="AG18" s="12">
        <v>37.68</v>
      </c>
      <c r="AH18" s="12">
        <v>79.47</v>
      </c>
      <c r="AI18" s="12">
        <v>1.5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1000"/>
  <sheetViews>
    <sheetView workbookViewId="0">
      <selection activeCell="L18" sqref="L18:O18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1" t="s">
        <v>93</v>
      </c>
      <c r="G3" s="11" t="s">
        <v>93</v>
      </c>
      <c r="H3" s="11" t="s">
        <v>93</v>
      </c>
      <c r="I3" s="11" t="s">
        <v>93</v>
      </c>
      <c r="K3" s="9" t="s">
        <v>11</v>
      </c>
      <c r="L3" s="10"/>
      <c r="M3" s="10"/>
      <c r="N3" s="10"/>
      <c r="O3" s="10"/>
      <c r="P3" s="11" t="s">
        <v>93</v>
      </c>
      <c r="Q3" s="11" t="s">
        <v>93</v>
      </c>
      <c r="R3" s="11" t="s">
        <v>93</v>
      </c>
      <c r="S3" s="11" t="s">
        <v>93</v>
      </c>
      <c r="U3" s="9" t="s">
        <v>11</v>
      </c>
      <c r="V3" s="10"/>
      <c r="W3" s="10"/>
      <c r="X3" s="10"/>
      <c r="Y3" s="10"/>
      <c r="Z3" s="12">
        <v>26</v>
      </c>
      <c r="AA3" s="12">
        <v>53</v>
      </c>
      <c r="AB3" s="12">
        <v>125</v>
      </c>
      <c r="AC3" s="12">
        <v>3.24</v>
      </c>
      <c r="AE3" s="9" t="s">
        <v>11</v>
      </c>
      <c r="AF3" s="10"/>
      <c r="AG3" s="10"/>
      <c r="AH3" s="10"/>
      <c r="AI3" s="10"/>
      <c r="AJ3" s="11">
        <v>26</v>
      </c>
      <c r="AK3" s="11">
        <v>43.384610000000002</v>
      </c>
      <c r="AL3" s="11">
        <v>76.153000000000006</v>
      </c>
      <c r="AM3" s="11">
        <v>1.98</v>
      </c>
    </row>
    <row r="4" spans="1:39" ht="15.75" customHeight="1">
      <c r="A4" s="4" t="s">
        <v>12</v>
      </c>
      <c r="B4" s="10" t="s">
        <v>93</v>
      </c>
      <c r="C4" s="10" t="s">
        <v>93</v>
      </c>
      <c r="D4" s="10" t="s">
        <v>93</v>
      </c>
      <c r="E4" s="10" t="s">
        <v>93</v>
      </c>
      <c r="F4" s="11" t="s">
        <v>93</v>
      </c>
      <c r="G4" s="11" t="s">
        <v>93</v>
      </c>
      <c r="H4" s="11" t="s">
        <v>93</v>
      </c>
      <c r="I4" s="11" t="s">
        <v>93</v>
      </c>
      <c r="K4" s="4" t="s">
        <v>12</v>
      </c>
      <c r="L4" s="10">
        <v>10</v>
      </c>
      <c r="M4" s="10">
        <v>188.5</v>
      </c>
      <c r="N4" s="10">
        <v>271</v>
      </c>
      <c r="O4" s="10">
        <v>2.71</v>
      </c>
      <c r="P4" s="11">
        <v>13</v>
      </c>
      <c r="Q4" s="11">
        <v>33.768999999999998</v>
      </c>
      <c r="R4" s="11">
        <v>39.229999999999997</v>
      </c>
      <c r="S4" s="11">
        <v>0.51</v>
      </c>
      <c r="U4" s="4" t="s">
        <v>12</v>
      </c>
      <c r="V4" s="10">
        <v>10</v>
      </c>
      <c r="W4" s="10">
        <v>289</v>
      </c>
      <c r="X4" s="10">
        <v>628</v>
      </c>
      <c r="Y4" s="10">
        <v>6.28</v>
      </c>
      <c r="Z4" s="11">
        <v>15</v>
      </c>
      <c r="AA4" s="11">
        <v>48</v>
      </c>
      <c r="AB4" s="11">
        <v>77</v>
      </c>
      <c r="AC4" s="11">
        <v>1.1499999999999999</v>
      </c>
      <c r="AE4" s="4" t="s">
        <v>12</v>
      </c>
      <c r="AF4" s="10">
        <v>10</v>
      </c>
      <c r="AG4" s="10">
        <v>257</v>
      </c>
      <c r="AH4" s="10">
        <v>582</v>
      </c>
      <c r="AI4" s="10">
        <v>5.82</v>
      </c>
      <c r="AJ4" s="11">
        <v>13</v>
      </c>
      <c r="AK4" s="11">
        <v>42.076900000000002</v>
      </c>
      <c r="AL4" s="11">
        <v>47.692300000000003</v>
      </c>
      <c r="AM4" s="11">
        <v>0.62</v>
      </c>
    </row>
    <row r="5" spans="1:39" ht="15.75" customHeight="1">
      <c r="A5" s="4" t="s">
        <v>13</v>
      </c>
      <c r="B5" s="10" t="s">
        <v>93</v>
      </c>
      <c r="C5" s="10" t="s">
        <v>93</v>
      </c>
      <c r="D5" s="10" t="s">
        <v>93</v>
      </c>
      <c r="E5" s="10" t="s">
        <v>93</v>
      </c>
      <c r="F5" s="11" t="s">
        <v>93</v>
      </c>
      <c r="G5" s="11" t="s">
        <v>93</v>
      </c>
      <c r="H5" s="11" t="s">
        <v>93</v>
      </c>
      <c r="I5" s="11" t="s">
        <v>93</v>
      </c>
      <c r="K5" s="4" t="s">
        <v>13</v>
      </c>
      <c r="L5" s="10">
        <v>19</v>
      </c>
      <c r="M5" s="10">
        <v>161.84</v>
      </c>
      <c r="N5" s="10">
        <v>183.68</v>
      </c>
      <c r="O5" s="10">
        <v>3.49</v>
      </c>
      <c r="P5" s="11">
        <v>4</v>
      </c>
      <c r="Q5" s="11">
        <v>30</v>
      </c>
      <c r="R5" s="11">
        <v>57.5</v>
      </c>
      <c r="S5" s="11">
        <v>0.23</v>
      </c>
      <c r="U5" s="4" t="s">
        <v>13</v>
      </c>
      <c r="V5" s="10">
        <v>20</v>
      </c>
      <c r="W5" s="10">
        <v>239</v>
      </c>
      <c r="X5" s="10">
        <v>329</v>
      </c>
      <c r="Y5" s="10">
        <v>6.57</v>
      </c>
      <c r="Z5" s="11">
        <v>7</v>
      </c>
      <c r="AA5" s="11">
        <v>38</v>
      </c>
      <c r="AB5" s="11">
        <v>29</v>
      </c>
      <c r="AC5" s="11">
        <v>0.2</v>
      </c>
      <c r="AE5" s="4" t="s">
        <v>13</v>
      </c>
      <c r="AF5" s="10">
        <v>20</v>
      </c>
      <c r="AG5" s="10">
        <v>202.25</v>
      </c>
      <c r="AH5" s="10">
        <v>384</v>
      </c>
      <c r="AI5" s="10">
        <v>7.68</v>
      </c>
      <c r="AJ5" s="11">
        <v>9</v>
      </c>
      <c r="AK5" s="11">
        <v>42.222200000000001</v>
      </c>
      <c r="AL5" s="11">
        <v>55.555500000000002</v>
      </c>
      <c r="AM5" s="11">
        <v>0.5</v>
      </c>
    </row>
    <row r="6" spans="1:39" ht="15.75" customHeight="1">
      <c r="A6" s="4" t="s">
        <v>14</v>
      </c>
      <c r="B6" s="10" t="s">
        <v>93</v>
      </c>
      <c r="C6" s="10" t="s">
        <v>93</v>
      </c>
      <c r="D6" s="10" t="s">
        <v>93</v>
      </c>
      <c r="E6" s="10" t="s">
        <v>93</v>
      </c>
      <c r="F6" s="11"/>
      <c r="G6" s="11"/>
      <c r="H6" s="11"/>
      <c r="I6" s="11"/>
      <c r="K6" s="4" t="s">
        <v>14</v>
      </c>
      <c r="L6" s="10">
        <v>25</v>
      </c>
      <c r="M6" s="10">
        <v>154.47999999999999</v>
      </c>
      <c r="N6" s="10">
        <v>182</v>
      </c>
      <c r="O6" s="10">
        <v>4.55</v>
      </c>
      <c r="P6" s="11"/>
      <c r="Q6" s="11"/>
      <c r="R6" s="11"/>
      <c r="S6" s="11"/>
      <c r="U6" s="4" t="s">
        <v>14</v>
      </c>
      <c r="V6" s="10">
        <v>30</v>
      </c>
      <c r="W6" s="10">
        <v>249</v>
      </c>
      <c r="X6" s="10">
        <v>276</v>
      </c>
      <c r="Y6" s="10">
        <v>8.27</v>
      </c>
      <c r="Z6" s="11"/>
      <c r="AA6" s="11"/>
      <c r="AB6" s="11"/>
      <c r="AC6" s="11"/>
      <c r="AE6" s="4" t="s">
        <v>14</v>
      </c>
      <c r="AF6" s="10">
        <v>27</v>
      </c>
      <c r="AG6" s="10">
        <v>200.22</v>
      </c>
      <c r="AH6" s="10">
        <v>361.851</v>
      </c>
      <c r="AI6" s="10">
        <v>9.77</v>
      </c>
      <c r="AJ6" s="12"/>
      <c r="AK6" s="12"/>
      <c r="AL6" s="12"/>
      <c r="AM6" s="12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 t="s">
        <v>93</v>
      </c>
      <c r="G9" s="16" t="s">
        <v>93</v>
      </c>
      <c r="H9" s="16" t="s">
        <v>93</v>
      </c>
      <c r="I9" s="16" t="s">
        <v>93</v>
      </c>
      <c r="K9" s="9" t="s">
        <v>16</v>
      </c>
      <c r="L9" s="13"/>
      <c r="M9" s="13"/>
      <c r="N9" s="13"/>
      <c r="O9" s="13"/>
      <c r="P9" s="16">
        <v>20</v>
      </c>
      <c r="Q9" s="16">
        <v>66.724999999999994</v>
      </c>
      <c r="R9" s="16">
        <v>154.5</v>
      </c>
      <c r="S9" s="16">
        <v>3.09</v>
      </c>
      <c r="U9" s="9" t="s">
        <v>16</v>
      </c>
      <c r="V9" s="13"/>
      <c r="W9" s="13"/>
      <c r="X9" s="13"/>
      <c r="Y9" s="13"/>
      <c r="Z9" s="16">
        <v>21</v>
      </c>
      <c r="AA9" s="16">
        <v>59.43</v>
      </c>
      <c r="AB9" s="16">
        <v>126.19</v>
      </c>
      <c r="AC9" s="16">
        <v>2.65</v>
      </c>
      <c r="AE9" s="9" t="s">
        <v>16</v>
      </c>
      <c r="AF9" s="10"/>
      <c r="AG9" s="10"/>
      <c r="AH9" s="10"/>
      <c r="AI9" s="10"/>
      <c r="AJ9" s="16">
        <v>18</v>
      </c>
      <c r="AK9" s="16">
        <v>64.44</v>
      </c>
      <c r="AL9" s="16">
        <v>121.67</v>
      </c>
      <c r="AM9" s="16">
        <v>2.19</v>
      </c>
    </row>
    <row r="10" spans="1:39" ht="15.75" customHeight="1">
      <c r="A10" s="4" t="s">
        <v>17</v>
      </c>
      <c r="B10" s="10" t="s">
        <v>93</v>
      </c>
      <c r="C10" s="10" t="s">
        <v>93</v>
      </c>
      <c r="D10" s="10" t="s">
        <v>93</v>
      </c>
      <c r="E10" s="10" t="s">
        <v>93</v>
      </c>
      <c r="F10" s="16" t="s">
        <v>93</v>
      </c>
      <c r="G10" s="16" t="s">
        <v>93</v>
      </c>
      <c r="H10" s="16" t="s">
        <v>93</v>
      </c>
      <c r="I10" s="16" t="s">
        <v>93</v>
      </c>
      <c r="K10" s="4" t="s">
        <v>17</v>
      </c>
      <c r="L10" s="10">
        <v>10</v>
      </c>
      <c r="M10" s="10">
        <v>180.5</v>
      </c>
      <c r="N10" s="10">
        <v>240</v>
      </c>
      <c r="O10" s="10">
        <v>2.4</v>
      </c>
      <c r="P10" s="16">
        <v>14</v>
      </c>
      <c r="Q10" s="16">
        <v>46.57</v>
      </c>
      <c r="R10" s="16">
        <v>112.857</v>
      </c>
      <c r="S10" s="16">
        <v>1.58</v>
      </c>
      <c r="U10" s="4" t="s">
        <v>17</v>
      </c>
      <c r="V10" s="13">
        <v>10</v>
      </c>
      <c r="W10" s="13">
        <v>231</v>
      </c>
      <c r="X10" s="13">
        <v>374</v>
      </c>
      <c r="Y10" s="13">
        <v>3.74</v>
      </c>
      <c r="Z10" s="16">
        <v>17</v>
      </c>
      <c r="AA10" s="16">
        <v>41</v>
      </c>
      <c r="AB10" s="16">
        <v>82</v>
      </c>
      <c r="AC10" s="16">
        <v>1.39</v>
      </c>
      <c r="AE10" s="4" t="s">
        <v>17</v>
      </c>
      <c r="AF10" s="13" t="s">
        <v>93</v>
      </c>
      <c r="AG10" s="13" t="s">
        <v>93</v>
      </c>
      <c r="AH10" s="13" t="s">
        <v>93</v>
      </c>
      <c r="AI10" s="13" t="s">
        <v>93</v>
      </c>
      <c r="AJ10" s="16" t="s">
        <v>93</v>
      </c>
      <c r="AK10" s="16" t="s">
        <v>93</v>
      </c>
      <c r="AL10" s="16" t="s">
        <v>93</v>
      </c>
      <c r="AM10" s="16" t="s">
        <v>93</v>
      </c>
    </row>
    <row r="11" spans="1:39" ht="15.75" customHeight="1">
      <c r="A11" s="4" t="s">
        <v>18</v>
      </c>
      <c r="B11" s="10" t="s">
        <v>93</v>
      </c>
      <c r="C11" s="10" t="s">
        <v>93</v>
      </c>
      <c r="D11" s="10" t="s">
        <v>93</v>
      </c>
      <c r="E11" s="10" t="s">
        <v>93</v>
      </c>
      <c r="F11" s="16" t="s">
        <v>93</v>
      </c>
      <c r="G11" s="16" t="s">
        <v>93</v>
      </c>
      <c r="H11" s="16" t="s">
        <v>93</v>
      </c>
      <c r="I11" s="16" t="s">
        <v>93</v>
      </c>
      <c r="K11" s="4" t="s">
        <v>18</v>
      </c>
      <c r="L11" s="10">
        <v>19</v>
      </c>
      <c r="M11" s="10">
        <v>164.5</v>
      </c>
      <c r="N11" s="10">
        <v>389.47</v>
      </c>
      <c r="O11" s="10">
        <v>7.4</v>
      </c>
      <c r="P11" s="16">
        <v>5</v>
      </c>
      <c r="Q11" s="16">
        <v>76.7</v>
      </c>
      <c r="R11" s="16">
        <v>190</v>
      </c>
      <c r="S11" s="16">
        <v>0.95</v>
      </c>
      <c r="U11" s="4" t="s">
        <v>18</v>
      </c>
      <c r="V11" s="13">
        <v>19</v>
      </c>
      <c r="W11" s="13">
        <v>238</v>
      </c>
      <c r="X11" s="13">
        <v>278.89999999999998</v>
      </c>
      <c r="Y11" s="13">
        <v>5.3</v>
      </c>
      <c r="Z11" s="16">
        <v>8</v>
      </c>
      <c r="AA11" s="16">
        <v>67.38</v>
      </c>
      <c r="AB11" s="16">
        <v>133.75</v>
      </c>
      <c r="AC11" s="16">
        <v>1.07</v>
      </c>
      <c r="AE11" s="4" t="s">
        <v>18</v>
      </c>
      <c r="AF11" s="13">
        <v>16</v>
      </c>
      <c r="AG11" s="13">
        <v>231.4375</v>
      </c>
      <c r="AH11" s="13">
        <v>445.625</v>
      </c>
      <c r="AI11" s="13">
        <v>7.13</v>
      </c>
      <c r="AJ11" s="16">
        <v>10</v>
      </c>
      <c r="AK11" s="16">
        <v>34.1</v>
      </c>
      <c r="AL11" s="16">
        <v>62</v>
      </c>
      <c r="AM11" s="16">
        <v>0.62</v>
      </c>
    </row>
    <row r="12" spans="1:39" ht="15.75" customHeight="1">
      <c r="A12" s="4" t="s">
        <v>14</v>
      </c>
      <c r="B12" s="10" t="s">
        <v>93</v>
      </c>
      <c r="C12" s="10" t="s">
        <v>93</v>
      </c>
      <c r="D12" s="10" t="s">
        <v>93</v>
      </c>
      <c r="E12" s="10" t="s">
        <v>93</v>
      </c>
      <c r="F12" s="16"/>
      <c r="G12" s="16"/>
      <c r="H12" s="16"/>
      <c r="I12" s="16"/>
      <c r="K12" s="4" t="s">
        <v>14</v>
      </c>
      <c r="L12" s="10">
        <v>25</v>
      </c>
      <c r="M12" s="10">
        <v>154.47999999999999</v>
      </c>
      <c r="N12" s="10">
        <v>182</v>
      </c>
      <c r="O12" s="10">
        <v>4.55</v>
      </c>
      <c r="P12" s="16"/>
      <c r="Q12" s="16"/>
      <c r="R12" s="16"/>
      <c r="S12" s="16"/>
      <c r="U12" s="4" t="s">
        <v>14</v>
      </c>
      <c r="V12" s="10">
        <v>30</v>
      </c>
      <c r="W12" s="10">
        <v>249</v>
      </c>
      <c r="X12" s="10">
        <v>276</v>
      </c>
      <c r="Y12" s="10">
        <v>8.27</v>
      </c>
      <c r="Z12" s="16"/>
      <c r="AA12" s="16"/>
      <c r="AB12" s="16"/>
      <c r="AC12" s="16"/>
      <c r="AE12" s="4" t="s">
        <v>14</v>
      </c>
      <c r="AF12" s="10">
        <v>27</v>
      </c>
      <c r="AG12" s="10">
        <v>200.22</v>
      </c>
      <c r="AH12" s="10">
        <v>361.851</v>
      </c>
      <c r="AI12" s="10">
        <v>9.77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 t="s">
        <v>93</v>
      </c>
      <c r="G15" s="16" t="s">
        <v>93</v>
      </c>
      <c r="H15" s="16" t="s">
        <v>93</v>
      </c>
      <c r="I15" s="16" t="s">
        <v>93</v>
      </c>
      <c r="K15" s="9" t="s">
        <v>19</v>
      </c>
      <c r="L15" s="11"/>
      <c r="M15" s="11"/>
      <c r="N15" s="11"/>
      <c r="O15" s="11"/>
      <c r="P15" s="16">
        <v>20</v>
      </c>
      <c r="Q15" s="16">
        <v>66.724999999999994</v>
      </c>
      <c r="R15" s="16">
        <v>154.5</v>
      </c>
      <c r="S15" s="16">
        <v>3.09</v>
      </c>
      <c r="U15" s="9" t="s">
        <v>19</v>
      </c>
      <c r="V15" s="12"/>
      <c r="W15" s="12"/>
      <c r="X15" s="12"/>
      <c r="Y15" s="12"/>
      <c r="Z15" s="16">
        <v>21</v>
      </c>
      <c r="AA15" s="16">
        <v>59.43</v>
      </c>
      <c r="AB15" s="16">
        <v>126.19</v>
      </c>
      <c r="AC15" s="16">
        <v>2.65</v>
      </c>
      <c r="AE15" s="9" t="s">
        <v>19</v>
      </c>
      <c r="AF15" s="12"/>
      <c r="AG15" s="12"/>
      <c r="AH15" s="12"/>
      <c r="AI15" s="12"/>
      <c r="AJ15" s="16">
        <v>18</v>
      </c>
      <c r="AK15" s="16">
        <v>64.44</v>
      </c>
      <c r="AL15" s="16">
        <v>121.67</v>
      </c>
      <c r="AM15" s="16">
        <v>2.19</v>
      </c>
    </row>
    <row r="16" spans="1:39" ht="15.75" customHeight="1">
      <c r="A16" s="4" t="s">
        <v>20</v>
      </c>
      <c r="B16" s="12" t="s">
        <v>93</v>
      </c>
      <c r="C16" s="12" t="s">
        <v>93</v>
      </c>
      <c r="D16" s="12" t="s">
        <v>93</v>
      </c>
      <c r="E16" s="12" t="s">
        <v>93</v>
      </c>
      <c r="F16" s="16" t="s">
        <v>93</v>
      </c>
      <c r="G16" s="16" t="s">
        <v>93</v>
      </c>
      <c r="H16" s="16" t="s">
        <v>93</v>
      </c>
      <c r="I16" s="16" t="s">
        <v>93</v>
      </c>
      <c r="K16" s="4" t="s">
        <v>20</v>
      </c>
      <c r="L16" s="12">
        <v>7</v>
      </c>
      <c r="M16" s="12">
        <v>39.6</v>
      </c>
      <c r="N16" s="12">
        <v>14</v>
      </c>
      <c r="O16" s="12">
        <v>0.1</v>
      </c>
      <c r="P16" s="16">
        <v>17</v>
      </c>
      <c r="Q16" s="16">
        <v>48.5</v>
      </c>
      <c r="R16" s="16">
        <v>55</v>
      </c>
      <c r="S16" s="16">
        <v>0.93</v>
      </c>
      <c r="U16" s="4" t="s">
        <v>20</v>
      </c>
      <c r="V16" s="12">
        <v>8</v>
      </c>
      <c r="W16" s="12">
        <v>46.25</v>
      </c>
      <c r="X16" s="12">
        <v>71.25</v>
      </c>
      <c r="Y16" s="12">
        <v>0.56999999999999995</v>
      </c>
      <c r="Z16" s="16">
        <v>13</v>
      </c>
      <c r="AA16" s="16">
        <v>59.2</v>
      </c>
      <c r="AB16" s="16">
        <v>103.8</v>
      </c>
      <c r="AC16" s="16">
        <v>1.35</v>
      </c>
      <c r="AE16" s="4" t="s">
        <v>20</v>
      </c>
      <c r="AF16" s="12">
        <v>7</v>
      </c>
      <c r="AG16" s="12">
        <v>41.857142000000003</v>
      </c>
      <c r="AH16" s="12">
        <v>71.428571430000005</v>
      </c>
      <c r="AI16" s="12">
        <v>0.5</v>
      </c>
      <c r="AJ16" s="16">
        <v>16</v>
      </c>
      <c r="AK16" s="16">
        <v>64.5</v>
      </c>
      <c r="AL16" s="16">
        <v>217.5</v>
      </c>
      <c r="AM16" s="16">
        <v>3.48</v>
      </c>
    </row>
    <row r="17" spans="1:39" ht="15.75" customHeight="1">
      <c r="A17" s="4" t="s">
        <v>21</v>
      </c>
      <c r="B17" s="12" t="s">
        <v>93</v>
      </c>
      <c r="C17" s="12" t="s">
        <v>93</v>
      </c>
      <c r="D17" s="12" t="s">
        <v>93</v>
      </c>
      <c r="E17" s="12" t="s">
        <v>93</v>
      </c>
      <c r="F17" s="16" t="s">
        <v>93</v>
      </c>
      <c r="G17" s="16" t="s">
        <v>93</v>
      </c>
      <c r="H17" s="16" t="s">
        <v>93</v>
      </c>
      <c r="I17" s="16" t="s">
        <v>93</v>
      </c>
      <c r="K17" s="4" t="s">
        <v>21</v>
      </c>
      <c r="L17" s="12">
        <v>8</v>
      </c>
      <c r="M17" s="12">
        <v>42.25</v>
      </c>
      <c r="N17" s="12">
        <v>57.5</v>
      </c>
      <c r="O17" s="12">
        <v>0.46</v>
      </c>
      <c r="P17" s="16">
        <v>10</v>
      </c>
      <c r="Q17" s="16">
        <v>41.7</v>
      </c>
      <c r="R17" s="16">
        <v>45</v>
      </c>
      <c r="S17" s="16">
        <v>0.45</v>
      </c>
      <c r="U17" s="4" t="s">
        <v>21</v>
      </c>
      <c r="V17" s="12">
        <v>18</v>
      </c>
      <c r="W17" s="12">
        <v>60</v>
      </c>
      <c r="X17" s="12">
        <v>161</v>
      </c>
      <c r="Y17" s="12">
        <v>2.9</v>
      </c>
      <c r="Z17" s="16">
        <v>5</v>
      </c>
      <c r="AA17" s="16">
        <v>53.2</v>
      </c>
      <c r="AB17" s="16">
        <v>126</v>
      </c>
      <c r="AC17" s="16">
        <v>0.63</v>
      </c>
      <c r="AE17" s="4" t="s">
        <v>21</v>
      </c>
      <c r="AF17" s="12">
        <v>14</v>
      </c>
      <c r="AG17" s="12">
        <v>48.785699999999999</v>
      </c>
      <c r="AH17" s="12">
        <v>86.428569999999993</v>
      </c>
      <c r="AI17" s="12">
        <v>1.21</v>
      </c>
      <c r="AJ17" s="16">
        <v>10</v>
      </c>
      <c r="AK17" s="16">
        <v>76.900000000000006</v>
      </c>
      <c r="AL17" s="16">
        <v>232</v>
      </c>
      <c r="AM17" s="16">
        <v>2.3199999999999998</v>
      </c>
    </row>
    <row r="18" spans="1:39" ht="15.75" customHeight="1">
      <c r="A18" s="4" t="s">
        <v>22</v>
      </c>
      <c r="B18" s="12" t="s">
        <v>93</v>
      </c>
      <c r="C18" s="12" t="s">
        <v>93</v>
      </c>
      <c r="D18" s="12" t="s">
        <v>93</v>
      </c>
      <c r="E18" s="12" t="s">
        <v>93</v>
      </c>
      <c r="F18" s="16"/>
      <c r="G18" s="16"/>
      <c r="H18" s="16"/>
      <c r="I18" s="16"/>
      <c r="K18" s="4" t="s">
        <v>22</v>
      </c>
      <c r="L18" s="11" t="s">
        <v>93</v>
      </c>
      <c r="M18" s="11" t="s">
        <v>93</v>
      </c>
      <c r="N18" s="11" t="s">
        <v>93</v>
      </c>
      <c r="O18" s="11" t="s">
        <v>93</v>
      </c>
      <c r="P18" s="16"/>
      <c r="Q18" s="16"/>
      <c r="R18" s="16"/>
      <c r="S18" s="16"/>
      <c r="U18" s="4" t="s">
        <v>22</v>
      </c>
      <c r="V18" s="12">
        <v>26</v>
      </c>
      <c r="W18" s="12">
        <v>53</v>
      </c>
      <c r="X18" s="12">
        <v>125</v>
      </c>
      <c r="Y18" s="12">
        <v>3.24</v>
      </c>
      <c r="Z18" s="16"/>
      <c r="AA18" s="16"/>
      <c r="AB18" s="16"/>
      <c r="AC18" s="16"/>
      <c r="AE18" s="4" t="s">
        <v>22</v>
      </c>
      <c r="AF18" s="11">
        <v>26</v>
      </c>
      <c r="AG18" s="11">
        <v>43.384610000000002</v>
      </c>
      <c r="AH18" s="11">
        <v>76.153000000000006</v>
      </c>
      <c r="AI18" s="11">
        <v>1.98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1000"/>
  <sheetViews>
    <sheetView workbookViewId="0">
      <selection activeCell="Q12" sqref="Q12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1" t="s">
        <v>93</v>
      </c>
      <c r="G3" s="11" t="s">
        <v>93</v>
      </c>
      <c r="H3" s="11" t="s">
        <v>93</v>
      </c>
      <c r="I3" s="11" t="s">
        <v>93</v>
      </c>
      <c r="K3" s="9" t="s">
        <v>11</v>
      </c>
      <c r="L3" s="10"/>
      <c r="M3" s="10"/>
      <c r="N3" s="10"/>
      <c r="O3" s="10"/>
      <c r="P3" s="12">
        <v>17</v>
      </c>
      <c r="Q3" s="12">
        <v>33.35</v>
      </c>
      <c r="R3" s="12">
        <v>40</v>
      </c>
      <c r="S3" s="12">
        <v>0.68</v>
      </c>
      <c r="U3" s="9" t="s">
        <v>11</v>
      </c>
      <c r="V3" s="10"/>
      <c r="W3" s="10"/>
      <c r="X3" s="10"/>
      <c r="Y3" s="10"/>
      <c r="Z3" s="12">
        <v>25</v>
      </c>
      <c r="AA3" s="12">
        <v>40.799999999999997</v>
      </c>
      <c r="AB3" s="12">
        <v>57.6</v>
      </c>
      <c r="AC3" s="12">
        <v>1.44</v>
      </c>
      <c r="AE3" s="9" t="s">
        <v>11</v>
      </c>
      <c r="AF3" s="10"/>
      <c r="AG3" s="10"/>
      <c r="AH3" s="10"/>
      <c r="AI3" s="10"/>
      <c r="AJ3" s="11">
        <v>17</v>
      </c>
      <c r="AK3" s="11">
        <v>40.18</v>
      </c>
      <c r="AL3" s="11">
        <v>75.88</v>
      </c>
      <c r="AM3" s="11">
        <v>1.29</v>
      </c>
    </row>
    <row r="4" spans="1:39" ht="15.75" customHeight="1">
      <c r="A4" s="4" t="s">
        <v>12</v>
      </c>
      <c r="B4" s="10" t="s">
        <v>93</v>
      </c>
      <c r="C4" s="10" t="s">
        <v>93</v>
      </c>
      <c r="D4" s="10" t="s">
        <v>93</v>
      </c>
      <c r="E4" s="10" t="s">
        <v>93</v>
      </c>
      <c r="F4" s="11" t="s">
        <v>93</v>
      </c>
      <c r="G4" s="11" t="s">
        <v>93</v>
      </c>
      <c r="H4" s="11" t="s">
        <v>93</v>
      </c>
      <c r="I4" s="11" t="s">
        <v>93</v>
      </c>
      <c r="K4" s="4" t="s">
        <v>12</v>
      </c>
      <c r="L4" s="10">
        <v>10</v>
      </c>
      <c r="M4" s="10">
        <v>133.5</v>
      </c>
      <c r="N4" s="10">
        <v>180</v>
      </c>
      <c r="O4" s="10">
        <v>1.8</v>
      </c>
      <c r="P4" s="11">
        <v>13</v>
      </c>
      <c r="Q4" s="11">
        <v>37</v>
      </c>
      <c r="R4" s="11">
        <v>46</v>
      </c>
      <c r="S4" s="11">
        <v>0.6</v>
      </c>
      <c r="U4" s="4" t="s">
        <v>12</v>
      </c>
      <c r="V4" s="10">
        <v>10</v>
      </c>
      <c r="W4" s="10">
        <v>157</v>
      </c>
      <c r="X4" s="10">
        <v>227</v>
      </c>
      <c r="Y4" s="10">
        <v>2.27</v>
      </c>
      <c r="Z4" s="11">
        <v>17</v>
      </c>
      <c r="AA4" s="11">
        <v>27.9</v>
      </c>
      <c r="AB4" s="11">
        <v>31.8</v>
      </c>
      <c r="AC4" s="11">
        <v>0.54</v>
      </c>
      <c r="AE4" s="4" t="s">
        <v>12</v>
      </c>
      <c r="AF4" s="10">
        <v>14</v>
      </c>
      <c r="AG4" s="10">
        <v>225.071</v>
      </c>
      <c r="AH4" s="10">
        <v>381.428</v>
      </c>
      <c r="AI4" s="10">
        <v>5.34</v>
      </c>
      <c r="AJ4" s="11">
        <v>21</v>
      </c>
      <c r="AK4" s="11">
        <v>39.523800000000001</v>
      </c>
      <c r="AL4" s="11">
        <v>40.467199999999998</v>
      </c>
      <c r="AM4" s="11">
        <v>0.85</v>
      </c>
    </row>
    <row r="5" spans="1:39" ht="15.75" customHeight="1">
      <c r="A5" s="4" t="s">
        <v>13</v>
      </c>
      <c r="B5" s="10" t="s">
        <v>93</v>
      </c>
      <c r="C5" s="10" t="s">
        <v>93</v>
      </c>
      <c r="D5" s="10" t="s">
        <v>93</v>
      </c>
      <c r="E5" s="10" t="s">
        <v>93</v>
      </c>
      <c r="F5" s="11" t="s">
        <v>93</v>
      </c>
      <c r="G5" s="11" t="s">
        <v>93</v>
      </c>
      <c r="H5" s="11" t="s">
        <v>93</v>
      </c>
      <c r="I5" s="11" t="s">
        <v>93</v>
      </c>
      <c r="K5" s="4" t="s">
        <v>13</v>
      </c>
      <c r="L5" s="10">
        <v>20</v>
      </c>
      <c r="M5" s="10">
        <v>147.6</v>
      </c>
      <c r="N5" s="10">
        <v>185.5</v>
      </c>
      <c r="O5" s="10">
        <v>3.71</v>
      </c>
      <c r="P5" s="11">
        <v>7</v>
      </c>
      <c r="Q5" s="11">
        <v>37.5</v>
      </c>
      <c r="R5" s="11">
        <v>34.29</v>
      </c>
      <c r="S5" s="11">
        <v>0.24</v>
      </c>
      <c r="U5" s="4" t="s">
        <v>13</v>
      </c>
      <c r="V5" s="10">
        <v>19</v>
      </c>
      <c r="W5" s="10">
        <v>145.19999999999999</v>
      </c>
      <c r="X5" s="10">
        <v>184.2</v>
      </c>
      <c r="Y5" s="10">
        <v>3.5</v>
      </c>
      <c r="Z5" s="11">
        <v>8</v>
      </c>
      <c r="AA5" s="11">
        <v>40.1</v>
      </c>
      <c r="AB5" s="11">
        <v>38.799999999999997</v>
      </c>
      <c r="AC5" s="11">
        <v>0.31</v>
      </c>
      <c r="AE5" s="4" t="s">
        <v>13</v>
      </c>
      <c r="AF5" s="10">
        <v>19</v>
      </c>
      <c r="AG5" s="10">
        <v>262.73</v>
      </c>
      <c r="AH5" s="10">
        <v>453.68</v>
      </c>
      <c r="AI5" s="10">
        <v>8.6199999999999992</v>
      </c>
      <c r="AJ5" s="11">
        <v>10</v>
      </c>
      <c r="AK5" s="11">
        <v>51</v>
      </c>
      <c r="AL5" s="11">
        <v>56</v>
      </c>
      <c r="AM5" s="11">
        <v>0.56000000000000005</v>
      </c>
    </row>
    <row r="6" spans="1:39" ht="15.75" customHeight="1">
      <c r="A6" s="4" t="s">
        <v>14</v>
      </c>
      <c r="B6" s="10" t="s">
        <v>93</v>
      </c>
      <c r="C6" s="10" t="s">
        <v>93</v>
      </c>
      <c r="D6" s="10" t="s">
        <v>93</v>
      </c>
      <c r="E6" s="10" t="s">
        <v>93</v>
      </c>
      <c r="F6" s="11"/>
      <c r="G6" s="11"/>
      <c r="H6" s="11"/>
      <c r="I6" s="11"/>
      <c r="K6" s="4" t="s">
        <v>14</v>
      </c>
      <c r="L6" s="10">
        <v>30</v>
      </c>
      <c r="M6" s="10">
        <v>162</v>
      </c>
      <c r="N6" s="10">
        <v>163.33000000000001</v>
      </c>
      <c r="O6" s="10">
        <v>4.9000000000000004</v>
      </c>
      <c r="P6" s="11"/>
      <c r="Q6" s="11"/>
      <c r="R6" s="11"/>
      <c r="S6" s="11"/>
      <c r="U6" s="4" t="s">
        <v>14</v>
      </c>
      <c r="V6" s="10">
        <v>29</v>
      </c>
      <c r="W6" s="10">
        <v>151.93</v>
      </c>
      <c r="X6" s="10">
        <v>167.93</v>
      </c>
      <c r="Y6" s="10">
        <v>4.78</v>
      </c>
      <c r="Z6" s="11"/>
      <c r="AA6" s="11"/>
      <c r="AB6" s="11"/>
      <c r="AC6" s="11"/>
      <c r="AE6" s="4" t="s">
        <v>14</v>
      </c>
      <c r="AF6" s="13">
        <v>30</v>
      </c>
      <c r="AG6" s="13">
        <v>260.63</v>
      </c>
      <c r="AH6" s="13">
        <v>353.33</v>
      </c>
      <c r="AI6" s="13">
        <v>10.6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 t="s">
        <v>93</v>
      </c>
      <c r="G9" s="16" t="s">
        <v>93</v>
      </c>
      <c r="H9" s="16" t="s">
        <v>93</v>
      </c>
      <c r="I9" s="16" t="s">
        <v>93</v>
      </c>
      <c r="K9" s="9" t="s">
        <v>16</v>
      </c>
      <c r="L9" s="13"/>
      <c r="M9" s="13"/>
      <c r="N9" s="13"/>
      <c r="O9" s="13"/>
      <c r="P9" s="16">
        <v>22</v>
      </c>
      <c r="Q9" s="16">
        <v>52.4</v>
      </c>
      <c r="R9" s="16">
        <v>82.3</v>
      </c>
      <c r="S9" s="16">
        <v>1.81</v>
      </c>
      <c r="U9" s="9" t="s">
        <v>16</v>
      </c>
      <c r="V9" s="13"/>
      <c r="W9" s="13"/>
      <c r="X9" s="13"/>
      <c r="Y9" s="13"/>
      <c r="Z9" s="16">
        <v>26</v>
      </c>
      <c r="AA9" s="16">
        <v>54</v>
      </c>
      <c r="AB9" s="16">
        <v>80.769000000000005</v>
      </c>
      <c r="AC9" s="16">
        <v>2.1</v>
      </c>
      <c r="AE9" s="9" t="s">
        <v>16</v>
      </c>
      <c r="AF9" s="13"/>
      <c r="AG9" s="13"/>
      <c r="AH9" s="13"/>
      <c r="AI9" s="13"/>
      <c r="AJ9" s="16">
        <v>16</v>
      </c>
      <c r="AK9" s="16">
        <v>51.375</v>
      </c>
      <c r="AL9" s="16">
        <v>146.875</v>
      </c>
      <c r="AM9" s="16">
        <v>2.35</v>
      </c>
    </row>
    <row r="10" spans="1:39" ht="15.75" customHeight="1">
      <c r="A10" s="4" t="s">
        <v>17</v>
      </c>
      <c r="B10" s="10" t="s">
        <v>93</v>
      </c>
      <c r="C10" s="10" t="s">
        <v>93</v>
      </c>
      <c r="D10" s="10" t="s">
        <v>93</v>
      </c>
      <c r="E10" s="10" t="s">
        <v>93</v>
      </c>
      <c r="F10" s="16" t="s">
        <v>93</v>
      </c>
      <c r="G10" s="16" t="s">
        <v>93</v>
      </c>
      <c r="H10" s="16" t="s">
        <v>93</v>
      </c>
      <c r="I10" s="16" t="s">
        <v>93</v>
      </c>
      <c r="K10" s="4" t="s">
        <v>17</v>
      </c>
      <c r="L10" s="13">
        <v>10</v>
      </c>
      <c r="M10" s="13">
        <v>153.6</v>
      </c>
      <c r="N10" s="13">
        <v>157</v>
      </c>
      <c r="O10" s="13">
        <v>1.57</v>
      </c>
      <c r="P10" s="16">
        <v>12</v>
      </c>
      <c r="Q10" s="16">
        <v>38.25</v>
      </c>
      <c r="R10" s="16">
        <v>102.5</v>
      </c>
      <c r="S10" s="16">
        <v>1.23</v>
      </c>
      <c r="U10" s="4" t="s">
        <v>17</v>
      </c>
      <c r="V10" s="13">
        <v>10</v>
      </c>
      <c r="W10" s="13">
        <v>153.1</v>
      </c>
      <c r="X10" s="13">
        <v>114</v>
      </c>
      <c r="Y10" s="13">
        <v>1.1399999999999999</v>
      </c>
      <c r="Z10" s="16">
        <v>13</v>
      </c>
      <c r="AA10" s="16">
        <v>70.069999999999993</v>
      </c>
      <c r="AB10" s="16">
        <v>90</v>
      </c>
      <c r="AC10" s="16">
        <v>1.17</v>
      </c>
      <c r="AE10" s="4" t="s">
        <v>17</v>
      </c>
      <c r="AF10" s="13">
        <v>10</v>
      </c>
      <c r="AG10" s="13">
        <v>264.39999999999998</v>
      </c>
      <c r="AH10" s="13">
        <v>497</v>
      </c>
      <c r="AI10" s="13">
        <v>4.97</v>
      </c>
      <c r="AJ10" s="16">
        <v>20</v>
      </c>
      <c r="AK10" s="16">
        <v>36.549999999999997</v>
      </c>
      <c r="AL10" s="16">
        <v>61.5</v>
      </c>
      <c r="AM10" s="16">
        <v>1.23</v>
      </c>
    </row>
    <row r="11" spans="1:39" ht="15.75" customHeight="1">
      <c r="A11" s="4" t="s">
        <v>18</v>
      </c>
      <c r="B11" s="10" t="s">
        <v>93</v>
      </c>
      <c r="C11" s="10" t="s">
        <v>93</v>
      </c>
      <c r="D11" s="10" t="s">
        <v>93</v>
      </c>
      <c r="E11" s="10" t="s">
        <v>93</v>
      </c>
      <c r="F11" s="16" t="s">
        <v>93</v>
      </c>
      <c r="G11" s="16" t="s">
        <v>93</v>
      </c>
      <c r="H11" s="16" t="s">
        <v>93</v>
      </c>
      <c r="I11" s="16" t="s">
        <v>93</v>
      </c>
      <c r="K11" s="4" t="s">
        <v>18</v>
      </c>
      <c r="L11" s="13">
        <v>18</v>
      </c>
      <c r="M11" s="13">
        <v>146.72</v>
      </c>
      <c r="N11" s="13">
        <v>160.55000000000001</v>
      </c>
      <c r="O11" s="13">
        <v>2.89</v>
      </c>
      <c r="P11" s="16">
        <v>10</v>
      </c>
      <c r="Q11" s="16">
        <v>50.93</v>
      </c>
      <c r="R11" s="16">
        <v>78</v>
      </c>
      <c r="S11" s="16">
        <v>0.78</v>
      </c>
      <c r="U11" s="4" t="s">
        <v>18</v>
      </c>
      <c r="V11" s="13">
        <v>20</v>
      </c>
      <c r="W11" s="13">
        <v>154.82</v>
      </c>
      <c r="X11" s="13">
        <v>104</v>
      </c>
      <c r="Y11" s="13">
        <v>2.08</v>
      </c>
      <c r="Z11" s="16">
        <v>10</v>
      </c>
      <c r="AA11" s="16">
        <v>48.4</v>
      </c>
      <c r="AB11" s="16">
        <v>46</v>
      </c>
      <c r="AC11" s="16">
        <v>0.46</v>
      </c>
      <c r="AE11" s="4" t="s">
        <v>18</v>
      </c>
      <c r="AF11" s="13">
        <v>20</v>
      </c>
      <c r="AG11" s="13">
        <v>269.55</v>
      </c>
      <c r="AH11" s="13">
        <v>429</v>
      </c>
      <c r="AI11" s="13">
        <v>8.58</v>
      </c>
      <c r="AJ11" s="16">
        <v>11</v>
      </c>
      <c r="AK11" s="16">
        <v>56.09</v>
      </c>
      <c r="AL11" s="16">
        <v>60.9</v>
      </c>
      <c r="AM11" s="16">
        <v>0.67</v>
      </c>
    </row>
    <row r="12" spans="1:39" ht="15.75" customHeight="1">
      <c r="A12" s="4" t="s">
        <v>14</v>
      </c>
      <c r="B12" s="10" t="s">
        <v>93</v>
      </c>
      <c r="C12" s="10" t="s">
        <v>93</v>
      </c>
      <c r="D12" s="10" t="s">
        <v>93</v>
      </c>
      <c r="E12" s="10" t="s">
        <v>93</v>
      </c>
      <c r="F12" s="16"/>
      <c r="G12" s="16"/>
      <c r="H12" s="16"/>
      <c r="I12" s="16"/>
      <c r="K12" s="4" t="s">
        <v>14</v>
      </c>
      <c r="L12" s="10">
        <v>30</v>
      </c>
      <c r="M12" s="10">
        <v>162</v>
      </c>
      <c r="N12" s="10">
        <v>163.33000000000001</v>
      </c>
      <c r="O12" s="10">
        <v>4.9000000000000004</v>
      </c>
      <c r="P12" s="16"/>
      <c r="Q12" s="16"/>
      <c r="R12" s="16"/>
      <c r="S12" s="16"/>
      <c r="U12" s="4" t="s">
        <v>14</v>
      </c>
      <c r="V12" s="10">
        <v>29</v>
      </c>
      <c r="W12" s="10">
        <v>151.93</v>
      </c>
      <c r="X12" s="10">
        <v>164.8</v>
      </c>
      <c r="Y12" s="10">
        <v>4.78</v>
      </c>
      <c r="Z12" s="16"/>
      <c r="AA12" s="16"/>
      <c r="AB12" s="16"/>
      <c r="AC12" s="16"/>
      <c r="AE12" s="4" t="s">
        <v>14</v>
      </c>
      <c r="AF12" s="13">
        <v>30</v>
      </c>
      <c r="AG12" s="13">
        <v>260.63</v>
      </c>
      <c r="AH12" s="13">
        <v>353.33</v>
      </c>
      <c r="AI12" s="13">
        <v>10.6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 t="s">
        <v>93</v>
      </c>
      <c r="G15" s="16" t="s">
        <v>93</v>
      </c>
      <c r="H15" s="16" t="s">
        <v>93</v>
      </c>
      <c r="I15" s="16" t="s">
        <v>93</v>
      </c>
      <c r="K15" s="9" t="s">
        <v>19</v>
      </c>
      <c r="L15" s="12"/>
      <c r="M15" s="12"/>
      <c r="N15" s="12"/>
      <c r="O15" s="12"/>
      <c r="P15" s="16">
        <v>22</v>
      </c>
      <c r="Q15" s="16">
        <v>52.4</v>
      </c>
      <c r="R15" s="16">
        <v>82.3</v>
      </c>
      <c r="S15" s="16">
        <v>1.81</v>
      </c>
      <c r="U15" s="9" t="s">
        <v>19</v>
      </c>
      <c r="V15" s="12"/>
      <c r="W15" s="12"/>
      <c r="X15" s="12"/>
      <c r="Y15" s="12"/>
      <c r="Z15" s="16">
        <v>26</v>
      </c>
      <c r="AA15" s="16">
        <v>54</v>
      </c>
      <c r="AB15" s="16">
        <v>80.769000000000005</v>
      </c>
      <c r="AC15" s="16">
        <v>2.1</v>
      </c>
      <c r="AE15" s="9" t="s">
        <v>19</v>
      </c>
      <c r="AF15" s="12"/>
      <c r="AG15" s="12"/>
      <c r="AH15" s="12"/>
      <c r="AI15" s="12"/>
      <c r="AJ15" s="16">
        <v>16</v>
      </c>
      <c r="AK15" s="16">
        <v>51.375</v>
      </c>
      <c r="AL15" s="16">
        <v>146.875</v>
      </c>
      <c r="AM15" s="16">
        <v>2.35</v>
      </c>
    </row>
    <row r="16" spans="1:39" ht="15.75" customHeight="1">
      <c r="A16" s="4" t="s">
        <v>20</v>
      </c>
      <c r="B16" s="12" t="s">
        <v>93</v>
      </c>
      <c r="C16" s="12" t="s">
        <v>93</v>
      </c>
      <c r="D16" s="12" t="s">
        <v>93</v>
      </c>
      <c r="E16" s="12" t="s">
        <v>93</v>
      </c>
      <c r="F16" s="16" t="s">
        <v>93</v>
      </c>
      <c r="G16" s="16" t="s">
        <v>93</v>
      </c>
      <c r="H16" s="16" t="s">
        <v>93</v>
      </c>
      <c r="I16" s="16" t="s">
        <v>93</v>
      </c>
      <c r="K16" s="4" t="s">
        <v>20</v>
      </c>
      <c r="L16" s="12" t="s">
        <v>93</v>
      </c>
      <c r="M16" s="12" t="s">
        <v>93</v>
      </c>
      <c r="N16" s="12" t="s">
        <v>93</v>
      </c>
      <c r="O16" s="12" t="s">
        <v>93</v>
      </c>
      <c r="P16" s="16">
        <v>14</v>
      </c>
      <c r="Q16" s="16">
        <v>68</v>
      </c>
      <c r="R16" s="16">
        <v>85.7</v>
      </c>
      <c r="S16" s="16">
        <v>1.2</v>
      </c>
      <c r="U16" s="4" t="s">
        <v>20</v>
      </c>
      <c r="V16" s="12">
        <v>7</v>
      </c>
      <c r="W16" s="12">
        <v>34</v>
      </c>
      <c r="X16" s="12">
        <v>21.43</v>
      </c>
      <c r="Y16" s="12">
        <v>0.15</v>
      </c>
      <c r="Z16" s="16">
        <v>14</v>
      </c>
      <c r="AA16" s="16">
        <v>74.5</v>
      </c>
      <c r="AB16" s="16">
        <v>118.57</v>
      </c>
      <c r="AC16" s="16">
        <v>1.66</v>
      </c>
      <c r="AE16" s="4" t="s">
        <v>20</v>
      </c>
      <c r="AF16" s="12">
        <v>7</v>
      </c>
      <c r="AG16" s="12">
        <v>49.57</v>
      </c>
      <c r="AH16" s="12">
        <v>82.85</v>
      </c>
      <c r="AI16" s="12">
        <v>0.57999999999999996</v>
      </c>
      <c r="AJ16" s="16">
        <v>17</v>
      </c>
      <c r="AK16" s="16">
        <v>53.12</v>
      </c>
      <c r="AL16" s="16">
        <v>103.52</v>
      </c>
      <c r="AM16" s="16">
        <v>1.76</v>
      </c>
    </row>
    <row r="17" spans="1:39" ht="15.75" customHeight="1">
      <c r="A17" s="4" t="s">
        <v>21</v>
      </c>
      <c r="B17" s="12" t="s">
        <v>93</v>
      </c>
      <c r="C17" s="12" t="s">
        <v>93</v>
      </c>
      <c r="D17" s="12" t="s">
        <v>93</v>
      </c>
      <c r="E17" s="12" t="s">
        <v>93</v>
      </c>
      <c r="F17" s="16" t="s">
        <v>93</v>
      </c>
      <c r="G17" s="16" t="s">
        <v>93</v>
      </c>
      <c r="H17" s="16" t="s">
        <v>93</v>
      </c>
      <c r="I17" s="16" t="s">
        <v>93</v>
      </c>
      <c r="K17" s="4" t="s">
        <v>21</v>
      </c>
      <c r="L17" s="12">
        <v>8</v>
      </c>
      <c r="M17" s="12">
        <v>69.25</v>
      </c>
      <c r="N17" s="12">
        <v>126.25</v>
      </c>
      <c r="O17" s="12">
        <v>1.01</v>
      </c>
      <c r="P17" s="16">
        <v>7</v>
      </c>
      <c r="Q17" s="16">
        <v>35</v>
      </c>
      <c r="R17" s="16">
        <v>24.3</v>
      </c>
      <c r="S17" s="16">
        <v>0.17</v>
      </c>
      <c r="U17" s="4" t="s">
        <v>21</v>
      </c>
      <c r="V17" s="12">
        <v>16</v>
      </c>
      <c r="W17" s="12">
        <v>36.75</v>
      </c>
      <c r="X17" s="12">
        <v>31.25</v>
      </c>
      <c r="Y17" s="12">
        <v>0.5</v>
      </c>
      <c r="Z17" s="16">
        <v>8</v>
      </c>
      <c r="AA17" s="16">
        <v>63</v>
      </c>
      <c r="AB17" s="16">
        <v>160</v>
      </c>
      <c r="AC17" s="16">
        <v>1.28</v>
      </c>
      <c r="AE17" s="4" t="s">
        <v>21</v>
      </c>
      <c r="AF17" s="12">
        <v>16</v>
      </c>
      <c r="AG17" s="12">
        <v>32.875</v>
      </c>
      <c r="AH17" s="12">
        <v>80.625</v>
      </c>
      <c r="AI17" s="12">
        <v>1.29</v>
      </c>
      <c r="AJ17" s="16">
        <v>8</v>
      </c>
      <c r="AK17" s="16">
        <v>33.375</v>
      </c>
      <c r="AL17" s="16">
        <v>127.5</v>
      </c>
      <c r="AM17" s="16">
        <v>1.02</v>
      </c>
    </row>
    <row r="18" spans="1:39" ht="15.75" customHeight="1">
      <c r="A18" s="4" t="s">
        <v>22</v>
      </c>
      <c r="B18" s="12" t="s">
        <v>93</v>
      </c>
      <c r="C18" s="12" t="s">
        <v>93</v>
      </c>
      <c r="D18" s="12" t="s">
        <v>93</v>
      </c>
      <c r="E18" s="12" t="s">
        <v>93</v>
      </c>
      <c r="F18" s="16"/>
      <c r="G18" s="16"/>
      <c r="H18" s="16"/>
      <c r="I18" s="16"/>
      <c r="K18" s="4" t="s">
        <v>22</v>
      </c>
      <c r="L18" s="12">
        <v>17</v>
      </c>
      <c r="M18" s="12">
        <v>33.35</v>
      </c>
      <c r="N18" s="12">
        <v>40</v>
      </c>
      <c r="O18" s="12">
        <v>0.68</v>
      </c>
      <c r="P18" s="16"/>
      <c r="Q18" s="16"/>
      <c r="R18" s="16"/>
      <c r="S18" s="16"/>
      <c r="U18" s="4" t="s">
        <v>22</v>
      </c>
      <c r="V18" s="12">
        <v>25</v>
      </c>
      <c r="W18" s="12">
        <v>40.799999999999997</v>
      </c>
      <c r="X18" s="12">
        <v>57.6</v>
      </c>
      <c r="Y18" s="12">
        <v>1.44</v>
      </c>
      <c r="Z18" s="16"/>
      <c r="AA18" s="16"/>
      <c r="AB18" s="16"/>
      <c r="AC18" s="16"/>
      <c r="AE18" s="4" t="s">
        <v>22</v>
      </c>
      <c r="AF18" s="11">
        <v>17</v>
      </c>
      <c r="AG18" s="11">
        <v>40.18</v>
      </c>
      <c r="AH18" s="11">
        <v>75.88</v>
      </c>
      <c r="AI18" s="11">
        <v>1.29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M1000"/>
  <sheetViews>
    <sheetView workbookViewId="0">
      <selection activeCell="P9" sqref="P9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1">
        <v>35</v>
      </c>
      <c r="G3" s="11">
        <v>36.03</v>
      </c>
      <c r="H3" s="11">
        <v>45.14</v>
      </c>
      <c r="I3" s="11">
        <v>1.58</v>
      </c>
      <c r="K3" s="9" t="s">
        <v>11</v>
      </c>
      <c r="L3" s="10"/>
      <c r="M3" s="10"/>
      <c r="N3" s="10"/>
      <c r="O3" s="10"/>
      <c r="P3" s="11">
        <v>23</v>
      </c>
      <c r="Q3" s="11">
        <v>38.520000000000003</v>
      </c>
      <c r="R3" s="11">
        <v>54.78</v>
      </c>
      <c r="S3" s="11">
        <v>1.26</v>
      </c>
      <c r="U3" s="9" t="s">
        <v>11</v>
      </c>
      <c r="V3" s="10"/>
      <c r="W3" s="10"/>
      <c r="X3" s="10"/>
      <c r="Y3" s="10"/>
      <c r="Z3" s="11">
        <v>25</v>
      </c>
      <c r="AA3" s="11">
        <v>36.32</v>
      </c>
      <c r="AB3" s="11">
        <f t="shared" ref="AB3:AB5" si="0">(AC3*1000)/Z3</f>
        <v>66.8</v>
      </c>
      <c r="AC3" s="11">
        <v>1.67</v>
      </c>
      <c r="AE3" s="9" t="s">
        <v>11</v>
      </c>
      <c r="AF3" s="10"/>
      <c r="AG3" s="10"/>
      <c r="AH3" s="10"/>
      <c r="AI3" s="10"/>
      <c r="AJ3" s="11">
        <v>25</v>
      </c>
      <c r="AK3" s="11">
        <v>70.400000000000006</v>
      </c>
      <c r="AL3" s="11">
        <v>66</v>
      </c>
      <c r="AM3" s="11">
        <v>1.65</v>
      </c>
    </row>
    <row r="4" spans="1:39" ht="15.75" customHeight="1">
      <c r="A4" s="4" t="s">
        <v>12</v>
      </c>
      <c r="B4" s="10">
        <v>10</v>
      </c>
      <c r="C4" s="10">
        <v>180.7</v>
      </c>
      <c r="D4" s="10">
        <f>E4*1000/B4</f>
        <v>220</v>
      </c>
      <c r="E4" s="10">
        <v>2.2000000000000002</v>
      </c>
      <c r="F4" s="11">
        <v>12</v>
      </c>
      <c r="G4" s="11">
        <v>36</v>
      </c>
      <c r="H4" s="11">
        <v>42.5</v>
      </c>
      <c r="I4" s="11">
        <v>0.51</v>
      </c>
      <c r="K4" s="4" t="s">
        <v>12</v>
      </c>
      <c r="L4" s="10">
        <v>9</v>
      </c>
      <c r="M4" s="10">
        <v>179.33</v>
      </c>
      <c r="N4" s="10">
        <v>255.56</v>
      </c>
      <c r="O4" s="10">
        <v>2.2999999999999998</v>
      </c>
      <c r="P4" s="11">
        <v>15</v>
      </c>
      <c r="Q4" s="11">
        <v>42.73</v>
      </c>
      <c r="R4" s="11">
        <v>37.33</v>
      </c>
      <c r="S4" s="11">
        <v>0.56000000000000005</v>
      </c>
      <c r="U4" s="4" t="s">
        <v>12</v>
      </c>
      <c r="V4" s="10">
        <v>10</v>
      </c>
      <c r="W4" s="10">
        <v>259</v>
      </c>
      <c r="X4" s="10">
        <f t="shared" ref="X4:X6" si="1">(Y4*1000)/V4</f>
        <v>678</v>
      </c>
      <c r="Y4" s="10">
        <v>6.78</v>
      </c>
      <c r="Z4" s="11">
        <v>17</v>
      </c>
      <c r="AA4" s="11">
        <v>44.17</v>
      </c>
      <c r="AB4" s="11">
        <f t="shared" si="0"/>
        <v>70.588235294117652</v>
      </c>
      <c r="AC4" s="11">
        <v>1.2</v>
      </c>
      <c r="AE4" s="4" t="s">
        <v>12</v>
      </c>
      <c r="AF4" s="10">
        <v>10</v>
      </c>
      <c r="AG4" s="10">
        <v>247.9</v>
      </c>
      <c r="AH4" s="10">
        <v>591</v>
      </c>
      <c r="AI4" s="10">
        <v>5.91</v>
      </c>
      <c r="AJ4" s="11">
        <v>20</v>
      </c>
      <c r="AK4" s="11">
        <v>47.65</v>
      </c>
      <c r="AL4" s="11">
        <v>64.5</v>
      </c>
      <c r="AM4" s="11">
        <v>1.29</v>
      </c>
    </row>
    <row r="5" spans="1:39" ht="15.75" customHeight="1">
      <c r="A5" s="4" t="s">
        <v>13</v>
      </c>
      <c r="B5" s="10">
        <v>30</v>
      </c>
      <c r="C5" s="10">
        <v>162.83000000000001</v>
      </c>
      <c r="D5" s="10">
        <v>120.67</v>
      </c>
      <c r="E5" s="10">
        <v>3.62</v>
      </c>
      <c r="F5" s="11">
        <v>7</v>
      </c>
      <c r="G5" s="11">
        <v>28.86</v>
      </c>
      <c r="H5" s="11">
        <v>44.29</v>
      </c>
      <c r="I5" s="11">
        <v>0.31</v>
      </c>
      <c r="K5" s="4" t="s">
        <v>13</v>
      </c>
      <c r="L5" s="10">
        <v>20</v>
      </c>
      <c r="M5" s="10">
        <v>169.2</v>
      </c>
      <c r="N5" s="10">
        <v>193.5</v>
      </c>
      <c r="O5" s="10">
        <v>3.87</v>
      </c>
      <c r="P5" s="11">
        <v>6</v>
      </c>
      <c r="Q5" s="11">
        <v>39.67</v>
      </c>
      <c r="R5" s="11">
        <v>57.83</v>
      </c>
      <c r="S5" s="11">
        <v>0.34689999999999999</v>
      </c>
      <c r="U5" s="4" t="s">
        <v>13</v>
      </c>
      <c r="V5" s="10">
        <v>20</v>
      </c>
      <c r="W5" s="10">
        <v>225.5</v>
      </c>
      <c r="X5" s="10">
        <f t="shared" si="1"/>
        <v>394.5</v>
      </c>
      <c r="Y5" s="10">
        <v>7.89</v>
      </c>
      <c r="Z5" s="11">
        <v>6</v>
      </c>
      <c r="AA5" s="11">
        <v>39.5</v>
      </c>
      <c r="AB5" s="11">
        <f t="shared" si="0"/>
        <v>40</v>
      </c>
      <c r="AC5" s="11">
        <v>0.24</v>
      </c>
      <c r="AE5" s="4" t="s">
        <v>13</v>
      </c>
      <c r="AF5" s="10">
        <v>32</v>
      </c>
      <c r="AG5" s="10">
        <v>339</v>
      </c>
      <c r="AH5" s="10">
        <v>326</v>
      </c>
      <c r="AI5" s="10">
        <v>10.45</v>
      </c>
      <c r="AJ5" s="11">
        <v>13</v>
      </c>
      <c r="AK5" s="11">
        <v>195.6</v>
      </c>
      <c r="AL5" s="11">
        <v>42.3</v>
      </c>
      <c r="AM5" s="11">
        <v>0.55000000000000004</v>
      </c>
    </row>
    <row r="6" spans="1:39" ht="15.75" customHeight="1">
      <c r="A6" s="4" t="s">
        <v>14</v>
      </c>
      <c r="B6" s="10">
        <v>30</v>
      </c>
      <c r="C6" s="10">
        <v>166.03</v>
      </c>
      <c r="D6" s="10">
        <v>179</v>
      </c>
      <c r="E6" s="10">
        <v>5.37</v>
      </c>
      <c r="F6" s="11"/>
      <c r="G6" s="11"/>
      <c r="H6" s="11"/>
      <c r="I6" s="11"/>
      <c r="K6" s="4" t="s">
        <v>14</v>
      </c>
      <c r="L6" s="10" t="s">
        <v>93</v>
      </c>
      <c r="M6" s="10" t="s">
        <v>93</v>
      </c>
      <c r="N6" s="10" t="s">
        <v>93</v>
      </c>
      <c r="O6" s="10" t="s">
        <v>93</v>
      </c>
      <c r="P6" s="11"/>
      <c r="Q6" s="11"/>
      <c r="R6" s="11"/>
      <c r="S6" s="11"/>
      <c r="U6" s="4" t="s">
        <v>14</v>
      </c>
      <c r="V6" s="13">
        <v>30</v>
      </c>
      <c r="W6" s="13">
        <v>221.3</v>
      </c>
      <c r="X6" s="10">
        <f t="shared" si="1"/>
        <v>364.33333333333331</v>
      </c>
      <c r="Y6" s="13">
        <v>10.93</v>
      </c>
      <c r="Z6" s="11"/>
      <c r="AA6" s="11"/>
      <c r="AB6" s="11"/>
      <c r="AC6" s="11"/>
      <c r="AE6" s="4" t="s">
        <v>14</v>
      </c>
      <c r="AF6" s="13">
        <v>30</v>
      </c>
      <c r="AG6" s="13">
        <v>182.6</v>
      </c>
      <c r="AH6" s="13">
        <v>407</v>
      </c>
      <c r="AI6" s="13">
        <v>12.21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21</v>
      </c>
      <c r="G9" s="16">
        <v>49.48</v>
      </c>
      <c r="H9" s="16">
        <v>0.14299999999999999</v>
      </c>
      <c r="I9" s="16">
        <v>3.01</v>
      </c>
      <c r="K9" s="9" t="s">
        <v>16</v>
      </c>
      <c r="L9" s="10"/>
      <c r="M9" s="10"/>
      <c r="N9" s="10"/>
      <c r="O9" s="10"/>
      <c r="P9" s="16">
        <v>20</v>
      </c>
      <c r="Q9" s="16">
        <v>55.45</v>
      </c>
      <c r="R9" s="16">
        <v>127</v>
      </c>
      <c r="S9" s="16">
        <v>2.54</v>
      </c>
      <c r="U9" s="9" t="s">
        <v>16</v>
      </c>
      <c r="V9" s="13"/>
      <c r="W9" s="13"/>
      <c r="X9" s="10"/>
      <c r="Y9" s="13"/>
      <c r="Z9" s="16">
        <v>7</v>
      </c>
      <c r="AA9" s="16">
        <v>92</v>
      </c>
      <c r="AB9" s="33">
        <f t="shared" ref="AB9" si="2">(AC9*1000)/Z9</f>
        <v>388.57142857142856</v>
      </c>
      <c r="AC9" s="16">
        <v>2.72</v>
      </c>
      <c r="AE9" s="9" t="s">
        <v>16</v>
      </c>
      <c r="AF9" s="13"/>
      <c r="AG9" s="13"/>
      <c r="AH9" s="13"/>
      <c r="AI9" s="13"/>
      <c r="AJ9" s="16">
        <v>17</v>
      </c>
      <c r="AK9" s="16">
        <v>100.3</v>
      </c>
      <c r="AL9" s="16">
        <v>101</v>
      </c>
      <c r="AM9" s="16">
        <v>1.72</v>
      </c>
    </row>
    <row r="10" spans="1:39" ht="15.75" customHeight="1">
      <c r="A10" s="4" t="s">
        <v>17</v>
      </c>
      <c r="B10" s="13">
        <v>10</v>
      </c>
      <c r="C10" s="13">
        <v>167.5</v>
      </c>
      <c r="D10" s="13">
        <v>148</v>
      </c>
      <c r="E10" s="13">
        <v>1.48</v>
      </c>
      <c r="F10" s="16">
        <v>15</v>
      </c>
      <c r="G10" s="16">
        <v>35.659999999999997</v>
      </c>
      <c r="H10" s="16">
        <v>106.66</v>
      </c>
      <c r="I10" s="16">
        <v>1.6</v>
      </c>
      <c r="K10" s="4" t="s">
        <v>17</v>
      </c>
      <c r="L10" s="10">
        <v>9</v>
      </c>
      <c r="M10" s="10">
        <v>159.44</v>
      </c>
      <c r="N10" s="10">
        <v>224.44</v>
      </c>
      <c r="O10" s="10">
        <v>2.02</v>
      </c>
      <c r="P10" s="16">
        <v>15</v>
      </c>
      <c r="Q10" s="16">
        <v>73.266999999999996</v>
      </c>
      <c r="R10" s="16">
        <v>207.33</v>
      </c>
      <c r="S10" s="16">
        <v>3.11</v>
      </c>
      <c r="U10" s="4" t="s">
        <v>17</v>
      </c>
      <c r="V10" s="13">
        <v>6</v>
      </c>
      <c r="W10" s="13">
        <v>61.832999999999998</v>
      </c>
      <c r="X10" s="10">
        <f t="shared" ref="X10:X12" si="3">(Y10*1000)/V10</f>
        <v>243.33333333333334</v>
      </c>
      <c r="Y10" s="13">
        <v>1.46</v>
      </c>
      <c r="Z10" s="16">
        <v>11</v>
      </c>
      <c r="AA10" s="16">
        <v>237</v>
      </c>
      <c r="AB10" s="33">
        <f t="shared" ref="AB10:AB11" si="4">(AC10*1000)/Z10</f>
        <v>412.72727272727275</v>
      </c>
      <c r="AC10" s="16">
        <v>4.54</v>
      </c>
      <c r="AE10" s="4" t="s">
        <v>17</v>
      </c>
      <c r="AF10" s="13">
        <v>10</v>
      </c>
      <c r="AG10" s="13">
        <v>239</v>
      </c>
      <c r="AH10" s="13">
        <v>504</v>
      </c>
      <c r="AI10" s="13">
        <v>5.04</v>
      </c>
      <c r="AJ10" s="16">
        <v>9</v>
      </c>
      <c r="AK10" s="16">
        <v>41.7</v>
      </c>
      <c r="AL10" s="16">
        <v>91.1417</v>
      </c>
      <c r="AM10" s="16">
        <v>0.82</v>
      </c>
    </row>
    <row r="11" spans="1:39" ht="15.75" customHeight="1">
      <c r="A11" s="4" t="s">
        <v>18</v>
      </c>
      <c r="B11" s="13">
        <v>18</v>
      </c>
      <c r="C11" s="13">
        <v>175.5</v>
      </c>
      <c r="D11" s="13">
        <v>177.7</v>
      </c>
      <c r="E11" s="13">
        <v>3.2</v>
      </c>
      <c r="F11" s="16">
        <v>3</v>
      </c>
      <c r="G11" s="16">
        <v>55</v>
      </c>
      <c r="H11" s="16">
        <v>143.33000000000001</v>
      </c>
      <c r="I11" s="16">
        <v>0.43</v>
      </c>
      <c r="K11" s="4" t="s">
        <v>18</v>
      </c>
      <c r="L11" s="10">
        <v>20</v>
      </c>
      <c r="M11" s="10">
        <v>169.25</v>
      </c>
      <c r="N11" s="10">
        <v>213.5</v>
      </c>
      <c r="O11" s="10">
        <v>4.2699999999999996</v>
      </c>
      <c r="P11" s="16">
        <v>6</v>
      </c>
      <c r="Q11" s="16">
        <v>62.667000000000002</v>
      </c>
      <c r="R11" s="16">
        <v>176.667</v>
      </c>
      <c r="S11" s="16">
        <v>1.06</v>
      </c>
      <c r="U11" s="4" t="s">
        <v>18</v>
      </c>
      <c r="V11" s="13">
        <v>19</v>
      </c>
      <c r="W11" s="13">
        <v>225</v>
      </c>
      <c r="X11" s="10">
        <f t="shared" si="3"/>
        <v>290</v>
      </c>
      <c r="Y11" s="13">
        <v>5.51</v>
      </c>
      <c r="Z11" s="16">
        <v>4</v>
      </c>
      <c r="AA11" s="16">
        <v>45</v>
      </c>
      <c r="AB11" s="33">
        <f t="shared" si="4"/>
        <v>92.5</v>
      </c>
      <c r="AC11" s="16">
        <v>0.37</v>
      </c>
      <c r="AE11" s="4" t="s">
        <v>18</v>
      </c>
      <c r="AF11" s="13">
        <v>20</v>
      </c>
      <c r="AG11" s="13">
        <v>463.6</v>
      </c>
      <c r="AH11" s="13">
        <v>459</v>
      </c>
      <c r="AI11" s="13">
        <v>9.18</v>
      </c>
      <c r="AJ11" s="16">
        <v>8</v>
      </c>
      <c r="AK11" s="16">
        <v>39.375</v>
      </c>
      <c r="AL11" s="16">
        <v>130</v>
      </c>
      <c r="AM11" s="16">
        <v>1.04</v>
      </c>
    </row>
    <row r="12" spans="1:39" ht="15.75" customHeight="1">
      <c r="A12" s="4" t="s">
        <v>14</v>
      </c>
      <c r="B12" s="10">
        <v>30</v>
      </c>
      <c r="C12" s="10">
        <v>166.03</v>
      </c>
      <c r="D12" s="10">
        <v>179</v>
      </c>
      <c r="E12" s="10">
        <v>5.37</v>
      </c>
      <c r="F12" s="16"/>
      <c r="G12" s="16"/>
      <c r="H12" s="16"/>
      <c r="I12" s="16"/>
      <c r="K12" s="4" t="s">
        <v>14</v>
      </c>
      <c r="L12" s="10" t="s">
        <v>93</v>
      </c>
      <c r="M12" s="10" t="s">
        <v>93</v>
      </c>
      <c r="N12" s="10" t="s">
        <v>93</v>
      </c>
      <c r="O12" s="10" t="s">
        <v>93</v>
      </c>
      <c r="P12" s="16"/>
      <c r="Q12" s="16"/>
      <c r="R12" s="16"/>
      <c r="S12" s="16"/>
      <c r="U12" s="4" t="s">
        <v>14</v>
      </c>
      <c r="V12" s="13">
        <v>30</v>
      </c>
      <c r="W12" s="13">
        <v>221.3</v>
      </c>
      <c r="X12" s="10">
        <f t="shared" si="3"/>
        <v>364.33333333333331</v>
      </c>
      <c r="Y12" s="13">
        <v>10.93</v>
      </c>
      <c r="Z12" s="16"/>
      <c r="AA12" s="16"/>
      <c r="AB12" s="33"/>
      <c r="AC12" s="16"/>
      <c r="AE12" s="4" t="s">
        <v>14</v>
      </c>
      <c r="AF12" s="13">
        <v>30</v>
      </c>
      <c r="AG12" s="13">
        <v>182.6</v>
      </c>
      <c r="AH12" s="13">
        <v>407</v>
      </c>
      <c r="AI12" s="13">
        <v>12.21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>
        <v>21</v>
      </c>
      <c r="G15" s="16">
        <v>49.48</v>
      </c>
      <c r="H15" s="16">
        <v>143.33000000000001</v>
      </c>
      <c r="I15" s="16">
        <v>3.01</v>
      </c>
      <c r="K15" s="9" t="s">
        <v>19</v>
      </c>
      <c r="L15" s="12"/>
      <c r="M15" s="12"/>
      <c r="N15" s="12"/>
      <c r="O15" s="12"/>
      <c r="P15" s="16">
        <v>20</v>
      </c>
      <c r="Q15" s="16">
        <v>55.45</v>
      </c>
      <c r="R15" s="16">
        <v>127</v>
      </c>
      <c r="S15" s="16">
        <v>2.54</v>
      </c>
      <c r="U15" s="9" t="s">
        <v>19</v>
      </c>
      <c r="V15" s="12"/>
      <c r="W15" s="12"/>
      <c r="X15" s="11"/>
      <c r="Y15" s="12"/>
      <c r="Z15" s="16">
        <v>7</v>
      </c>
      <c r="AA15" s="16">
        <v>92</v>
      </c>
      <c r="AB15" s="33">
        <f t="shared" ref="AB15:AB17" si="5">(AC15*1000)/Z15</f>
        <v>388.57142857142856</v>
      </c>
      <c r="AC15" s="16">
        <v>2.72</v>
      </c>
      <c r="AE15" s="9" t="s">
        <v>19</v>
      </c>
      <c r="AF15" s="12"/>
      <c r="AG15" s="12"/>
      <c r="AH15" s="12"/>
      <c r="AI15" s="12"/>
      <c r="AJ15" s="16">
        <v>17</v>
      </c>
      <c r="AK15" s="16">
        <v>100.3</v>
      </c>
      <c r="AL15" s="16">
        <v>101</v>
      </c>
      <c r="AM15" s="16">
        <v>1.72</v>
      </c>
    </row>
    <row r="16" spans="1:39" ht="15.75" customHeight="1">
      <c r="A16" s="4" t="s">
        <v>20</v>
      </c>
      <c r="B16" s="12">
        <v>4</v>
      </c>
      <c r="C16" s="12">
        <v>62.11</v>
      </c>
      <c r="D16" s="12">
        <v>164.44</v>
      </c>
      <c r="E16" s="12">
        <v>2.96</v>
      </c>
      <c r="F16" s="16">
        <v>18</v>
      </c>
      <c r="G16" s="16">
        <v>29.86</v>
      </c>
      <c r="H16" s="16">
        <v>42.86</v>
      </c>
      <c r="I16" s="16">
        <v>0.3</v>
      </c>
      <c r="K16" s="4" t="s">
        <v>20</v>
      </c>
      <c r="L16" s="12">
        <v>9</v>
      </c>
      <c r="M16" s="12">
        <v>41</v>
      </c>
      <c r="N16" s="12">
        <v>44.44</v>
      </c>
      <c r="O16" s="12">
        <v>0.4</v>
      </c>
      <c r="P16" s="16">
        <v>16</v>
      </c>
      <c r="Q16" s="16">
        <v>74.94</v>
      </c>
      <c r="R16" s="16">
        <v>185</v>
      </c>
      <c r="S16" s="16">
        <v>2.96</v>
      </c>
      <c r="U16" s="4" t="s">
        <v>20</v>
      </c>
      <c r="V16" s="12">
        <v>9</v>
      </c>
      <c r="W16" s="12">
        <v>44.44</v>
      </c>
      <c r="X16" s="11">
        <f t="shared" ref="X16:X18" si="6">(Y16*1000)/V16</f>
        <v>73.333333333333329</v>
      </c>
      <c r="Y16" s="12">
        <v>0.66</v>
      </c>
      <c r="Z16" s="16">
        <v>10</v>
      </c>
      <c r="AA16" s="16">
        <v>93.5</v>
      </c>
      <c r="AB16" s="33">
        <f t="shared" si="5"/>
        <v>223</v>
      </c>
      <c r="AC16" s="16">
        <v>2.23</v>
      </c>
      <c r="AE16" s="4" t="s">
        <v>20</v>
      </c>
      <c r="AF16" s="12">
        <v>5</v>
      </c>
      <c r="AG16" s="12">
        <v>54.4</v>
      </c>
      <c r="AH16" s="12">
        <v>102</v>
      </c>
      <c r="AI16" s="12">
        <v>0.51</v>
      </c>
      <c r="AJ16" s="16">
        <v>12</v>
      </c>
      <c r="AK16" s="16">
        <v>62.42</v>
      </c>
      <c r="AL16" s="16">
        <v>165.8</v>
      </c>
      <c r="AM16" s="16">
        <v>1.99</v>
      </c>
    </row>
    <row r="17" spans="1:39" ht="15.75" customHeight="1">
      <c r="A17" s="4" t="s">
        <v>21</v>
      </c>
      <c r="B17" s="12">
        <v>17</v>
      </c>
      <c r="C17" s="12">
        <v>37.765000000000001</v>
      </c>
      <c r="D17" s="12">
        <v>40</v>
      </c>
      <c r="E17" s="12">
        <v>0.68</v>
      </c>
      <c r="F17" s="16">
        <v>13</v>
      </c>
      <c r="G17" s="16">
        <v>59.845999999999997</v>
      </c>
      <c r="H17" s="16">
        <v>151.53800000000001</v>
      </c>
      <c r="I17" s="16">
        <v>1.97</v>
      </c>
      <c r="K17" s="4" t="s">
        <v>21</v>
      </c>
      <c r="L17" s="12">
        <v>16</v>
      </c>
      <c r="M17" s="12">
        <v>32.625</v>
      </c>
      <c r="N17" s="12">
        <v>37.5</v>
      </c>
      <c r="O17" s="12">
        <v>0.6</v>
      </c>
      <c r="P17" s="16">
        <v>8</v>
      </c>
      <c r="Q17" s="16">
        <v>86.5</v>
      </c>
      <c r="R17" s="16">
        <v>296.25</v>
      </c>
      <c r="S17" s="16">
        <v>2.37</v>
      </c>
      <c r="U17" s="4" t="s">
        <v>21</v>
      </c>
      <c r="V17" s="12">
        <v>14</v>
      </c>
      <c r="W17" s="12">
        <v>43.64</v>
      </c>
      <c r="X17" s="11">
        <f t="shared" si="6"/>
        <v>71.428571428571431</v>
      </c>
      <c r="Y17" s="12">
        <v>1</v>
      </c>
      <c r="Z17" s="16">
        <v>5</v>
      </c>
      <c r="AA17" s="16">
        <v>98</v>
      </c>
      <c r="AB17" s="33">
        <f t="shared" si="5"/>
        <v>314</v>
      </c>
      <c r="AC17" s="16">
        <v>1.57</v>
      </c>
      <c r="AE17" s="4" t="s">
        <v>21</v>
      </c>
      <c r="AF17" s="12" t="s">
        <v>93</v>
      </c>
      <c r="AG17" s="12" t="s">
        <v>93</v>
      </c>
      <c r="AH17" s="12" t="s">
        <v>93</v>
      </c>
      <c r="AI17" s="12" t="s">
        <v>93</v>
      </c>
      <c r="AJ17" s="16" t="s">
        <v>93</v>
      </c>
      <c r="AK17" s="16" t="s">
        <v>93</v>
      </c>
      <c r="AL17" s="16" t="s">
        <v>93</v>
      </c>
      <c r="AM17" s="16" t="s">
        <v>93</v>
      </c>
    </row>
    <row r="18" spans="1:39" ht="15.75" customHeight="1">
      <c r="A18" s="4" t="s">
        <v>22</v>
      </c>
      <c r="B18" s="11">
        <v>35</v>
      </c>
      <c r="C18" s="11">
        <v>36.03</v>
      </c>
      <c r="D18" s="11">
        <v>45.14</v>
      </c>
      <c r="E18" s="11">
        <v>1.58</v>
      </c>
      <c r="F18" s="16"/>
      <c r="G18" s="16"/>
      <c r="H18" s="16"/>
      <c r="I18" s="16"/>
      <c r="K18" s="4" t="s">
        <v>22</v>
      </c>
      <c r="L18" s="12">
        <v>23</v>
      </c>
      <c r="M18" s="12">
        <v>38.520000000000003</v>
      </c>
      <c r="N18" s="12">
        <v>54.78</v>
      </c>
      <c r="O18" s="12">
        <v>1.26</v>
      </c>
      <c r="P18" s="16"/>
      <c r="Q18" s="16"/>
      <c r="R18" s="16"/>
      <c r="S18" s="16"/>
      <c r="U18" s="4" t="s">
        <v>22</v>
      </c>
      <c r="V18" s="11">
        <v>25</v>
      </c>
      <c r="W18" s="11">
        <v>36.32</v>
      </c>
      <c r="X18" s="11">
        <f t="shared" si="6"/>
        <v>66.8</v>
      </c>
      <c r="Y18" s="11">
        <v>1.67</v>
      </c>
      <c r="Z18" s="16"/>
      <c r="AA18" s="16"/>
      <c r="AB18" s="33"/>
      <c r="AC18" s="16"/>
      <c r="AE18" s="4" t="s">
        <v>22</v>
      </c>
      <c r="AF18" s="11">
        <v>25</v>
      </c>
      <c r="AG18" s="11">
        <v>70.400000000000006</v>
      </c>
      <c r="AH18" s="11">
        <v>66</v>
      </c>
      <c r="AI18" s="11">
        <v>1.65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M1000"/>
  <sheetViews>
    <sheetView workbookViewId="0">
      <selection activeCell="AB11" sqref="AB11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1">
        <v>24</v>
      </c>
      <c r="G3" s="11">
        <v>26.91</v>
      </c>
      <c r="H3" s="11">
        <v>44.582999999999998</v>
      </c>
      <c r="I3" s="11">
        <v>1.07</v>
      </c>
      <c r="K3" s="9" t="s">
        <v>11</v>
      </c>
      <c r="L3" s="10"/>
      <c r="M3" s="10"/>
      <c r="N3" s="10"/>
      <c r="O3" s="10"/>
      <c r="P3" s="12">
        <v>26</v>
      </c>
      <c r="Q3" s="12">
        <v>30.192</v>
      </c>
      <c r="R3" s="12">
        <v>51.153799999999997</v>
      </c>
      <c r="S3" s="12">
        <v>1.33</v>
      </c>
      <c r="U3" s="9" t="s">
        <v>11</v>
      </c>
      <c r="V3" s="10"/>
      <c r="W3" s="10"/>
      <c r="X3" s="10"/>
      <c r="Y3" s="10"/>
      <c r="Z3" s="11">
        <v>23</v>
      </c>
      <c r="AA3" s="11">
        <v>44.5</v>
      </c>
      <c r="AB3" s="11">
        <v>80.400000000000006</v>
      </c>
      <c r="AC3" s="11">
        <v>1.85</v>
      </c>
      <c r="AE3" s="9" t="s">
        <v>11</v>
      </c>
      <c r="AF3" s="10"/>
      <c r="AG3" s="10"/>
      <c r="AH3" s="10"/>
      <c r="AI3" s="10"/>
      <c r="AJ3" s="11">
        <v>22</v>
      </c>
      <c r="AK3" s="11">
        <v>42.045453999999999</v>
      </c>
      <c r="AL3" s="11">
        <v>88.181799999999996</v>
      </c>
      <c r="AM3" s="11">
        <v>1.94</v>
      </c>
    </row>
    <row r="4" spans="1:39" ht="15.75" customHeight="1">
      <c r="A4" s="4" t="s">
        <v>12</v>
      </c>
      <c r="B4" s="10">
        <v>10</v>
      </c>
      <c r="C4" s="10">
        <v>155.5</v>
      </c>
      <c r="D4" s="10">
        <v>163</v>
      </c>
      <c r="E4" s="10">
        <v>1.63</v>
      </c>
      <c r="F4" s="11">
        <v>19</v>
      </c>
      <c r="G4" s="11">
        <v>35.049999999999997</v>
      </c>
      <c r="H4" s="11">
        <v>45.26</v>
      </c>
      <c r="I4" s="11">
        <v>0.86</v>
      </c>
      <c r="K4" s="4" t="s">
        <v>12</v>
      </c>
      <c r="L4" s="10">
        <v>10</v>
      </c>
      <c r="M4" s="10">
        <v>167.5</v>
      </c>
      <c r="N4" s="10">
        <v>185</v>
      </c>
      <c r="O4" s="10">
        <v>1.85</v>
      </c>
      <c r="P4" s="11">
        <v>15</v>
      </c>
      <c r="Q4" s="11">
        <v>33.4</v>
      </c>
      <c r="R4" s="11">
        <v>37.299999999999997</v>
      </c>
      <c r="S4" s="11">
        <v>0.56000000000000005</v>
      </c>
      <c r="U4" s="4" t="s">
        <v>12</v>
      </c>
      <c r="V4" s="10">
        <v>9</v>
      </c>
      <c r="W4" s="10">
        <v>313.89999999999998</v>
      </c>
      <c r="X4" s="10">
        <v>510</v>
      </c>
      <c r="Y4" s="10">
        <v>4.59</v>
      </c>
      <c r="Z4" s="11">
        <v>18</v>
      </c>
      <c r="AA4" s="11">
        <v>40.700000000000003</v>
      </c>
      <c r="AB4" s="11">
        <v>57.8</v>
      </c>
      <c r="AC4" s="11">
        <v>1.04</v>
      </c>
      <c r="AE4" s="4" t="s">
        <v>12</v>
      </c>
      <c r="AF4" s="10">
        <v>10</v>
      </c>
      <c r="AG4" s="10">
        <v>234</v>
      </c>
      <c r="AH4" s="10">
        <v>481</v>
      </c>
      <c r="AI4" s="10">
        <v>4.8099999999999996</v>
      </c>
      <c r="AJ4" s="11">
        <v>15</v>
      </c>
      <c r="AK4" s="11">
        <v>42.6</v>
      </c>
      <c r="AL4" s="11">
        <v>60.666666999999997</v>
      </c>
      <c r="AM4" s="11">
        <v>0.91</v>
      </c>
    </row>
    <row r="5" spans="1:39" ht="15.75" customHeight="1">
      <c r="A5" s="4" t="s">
        <v>13</v>
      </c>
      <c r="B5" s="10">
        <v>19</v>
      </c>
      <c r="C5" s="10">
        <v>165.57900000000001</v>
      </c>
      <c r="D5" s="10">
        <v>201.05</v>
      </c>
      <c r="E5" s="10">
        <v>3.82</v>
      </c>
      <c r="F5" s="11">
        <v>9</v>
      </c>
      <c r="G5" s="11">
        <v>40.889000000000003</v>
      </c>
      <c r="H5" s="11">
        <v>36.67</v>
      </c>
      <c r="I5" s="11">
        <v>0.33</v>
      </c>
      <c r="K5" s="4" t="s">
        <v>13</v>
      </c>
      <c r="L5" s="10">
        <v>27</v>
      </c>
      <c r="M5" s="10">
        <v>162.9</v>
      </c>
      <c r="N5" s="10">
        <v>163.47999999999999</v>
      </c>
      <c r="O5" s="10">
        <v>4.4139999999999997</v>
      </c>
      <c r="P5" s="11">
        <v>14</v>
      </c>
      <c r="Q5" s="11">
        <v>29.5</v>
      </c>
      <c r="R5" s="11">
        <v>29.28</v>
      </c>
      <c r="S5" s="11">
        <v>0.41</v>
      </c>
      <c r="U5" s="4" t="s">
        <v>13</v>
      </c>
      <c r="V5" s="10">
        <v>20</v>
      </c>
      <c r="W5" s="10">
        <v>251.5</v>
      </c>
      <c r="X5" s="10">
        <v>400</v>
      </c>
      <c r="Y5" s="10">
        <v>8</v>
      </c>
      <c r="Z5" s="11">
        <v>9</v>
      </c>
      <c r="AA5" s="11">
        <v>34.6</v>
      </c>
      <c r="AB5" s="11">
        <v>54.4</v>
      </c>
      <c r="AC5" s="11">
        <v>0.49</v>
      </c>
      <c r="AE5" s="4" t="s">
        <v>13</v>
      </c>
      <c r="AF5" s="10">
        <v>19</v>
      </c>
      <c r="AG5" s="10">
        <v>261</v>
      </c>
      <c r="AH5" s="10">
        <v>468.42105199999997</v>
      </c>
      <c r="AI5" s="10">
        <v>8.9</v>
      </c>
      <c r="AJ5" s="11">
        <v>9</v>
      </c>
      <c r="AK5" s="11">
        <v>41.666665999999999</v>
      </c>
      <c r="AL5" s="11">
        <v>66.666659999999993</v>
      </c>
      <c r="AM5" s="11">
        <v>0.6</v>
      </c>
    </row>
    <row r="6" spans="1:39" ht="15.75" customHeight="1">
      <c r="A6" s="4" t="s">
        <v>14</v>
      </c>
      <c r="B6" s="13">
        <v>30</v>
      </c>
      <c r="C6" s="13">
        <v>130.667</v>
      </c>
      <c r="D6" s="13">
        <v>196.667</v>
      </c>
      <c r="E6" s="13">
        <v>5.9</v>
      </c>
      <c r="F6" s="11"/>
      <c r="G6" s="11"/>
      <c r="H6" s="11"/>
      <c r="I6" s="11"/>
      <c r="K6" s="4" t="s">
        <v>14</v>
      </c>
      <c r="L6" s="13">
        <v>30</v>
      </c>
      <c r="M6" s="13">
        <v>155.16</v>
      </c>
      <c r="N6" s="13">
        <v>180</v>
      </c>
      <c r="O6" s="13">
        <v>5.4</v>
      </c>
      <c r="P6" s="11"/>
      <c r="Q6" s="11"/>
      <c r="R6" s="11"/>
      <c r="S6" s="11"/>
      <c r="U6" s="4" t="s">
        <v>14</v>
      </c>
      <c r="V6" s="13">
        <v>30</v>
      </c>
      <c r="W6" s="13">
        <v>263.5</v>
      </c>
      <c r="X6" s="13">
        <v>298</v>
      </c>
      <c r="Y6" s="13">
        <v>8.9499999999999993</v>
      </c>
      <c r="Z6" s="11"/>
      <c r="AA6" s="11"/>
      <c r="AB6" s="11"/>
      <c r="AC6" s="11"/>
      <c r="AE6" s="4" t="s">
        <v>14</v>
      </c>
      <c r="AF6" s="13">
        <v>29</v>
      </c>
      <c r="AG6" s="13">
        <v>268</v>
      </c>
      <c r="AH6" s="13">
        <v>415.17200000000003</v>
      </c>
      <c r="AI6" s="13">
        <v>12.04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40</v>
      </c>
      <c r="G9" s="16">
        <v>47.5</v>
      </c>
      <c r="H9" s="16">
        <v>82.75</v>
      </c>
      <c r="I9" s="16">
        <v>3.31</v>
      </c>
      <c r="K9" s="9" t="s">
        <v>16</v>
      </c>
      <c r="L9" s="13"/>
      <c r="M9" s="13"/>
      <c r="N9" s="13"/>
      <c r="O9" s="13"/>
      <c r="P9" s="16">
        <v>26</v>
      </c>
      <c r="Q9" s="16">
        <v>41.88</v>
      </c>
      <c r="R9" s="16">
        <v>121.53</v>
      </c>
      <c r="S9" s="16">
        <v>3.16</v>
      </c>
      <c r="U9" s="9" t="s">
        <v>16</v>
      </c>
      <c r="V9" s="13"/>
      <c r="W9" s="13"/>
      <c r="X9" s="13"/>
      <c r="Y9" s="13"/>
      <c r="Z9" s="16">
        <v>24</v>
      </c>
      <c r="AA9" s="16">
        <v>61.3</v>
      </c>
      <c r="AB9" s="16">
        <v>92.5</v>
      </c>
      <c r="AC9" s="16">
        <v>2.2200000000000002</v>
      </c>
      <c r="AE9" s="9" t="s">
        <v>16</v>
      </c>
      <c r="AF9" s="10"/>
      <c r="AG9" s="10"/>
      <c r="AH9" s="10"/>
      <c r="AI9" s="10"/>
      <c r="AJ9" s="16">
        <v>26</v>
      </c>
      <c r="AK9" s="16">
        <v>54.423076000000002</v>
      </c>
      <c r="AL9" s="16">
        <v>93.076922999999994</v>
      </c>
      <c r="AM9" s="16">
        <v>2.42</v>
      </c>
    </row>
    <row r="10" spans="1:39" ht="15.75" customHeight="1">
      <c r="A10" s="4" t="s">
        <v>17</v>
      </c>
      <c r="B10" s="13">
        <v>9</v>
      </c>
      <c r="C10" s="13">
        <v>191.11</v>
      </c>
      <c r="D10" s="13">
        <v>226.67</v>
      </c>
      <c r="E10" s="13">
        <v>2.04</v>
      </c>
      <c r="F10" s="16">
        <v>13</v>
      </c>
      <c r="G10" s="16">
        <v>58.46</v>
      </c>
      <c r="H10" s="16">
        <v>174.62</v>
      </c>
      <c r="I10" s="16">
        <v>2.27</v>
      </c>
      <c r="K10" s="4" t="s">
        <v>17</v>
      </c>
      <c r="L10" s="13" t="s">
        <v>93</v>
      </c>
      <c r="M10" s="13" t="s">
        <v>93</v>
      </c>
      <c r="N10" s="13" t="s">
        <v>93</v>
      </c>
      <c r="O10" s="13" t="s">
        <v>93</v>
      </c>
      <c r="P10" s="16" t="s">
        <v>93</v>
      </c>
      <c r="Q10" s="16" t="s">
        <v>93</v>
      </c>
      <c r="R10" s="16" t="s">
        <v>93</v>
      </c>
      <c r="S10" s="16" t="s">
        <v>93</v>
      </c>
      <c r="U10" s="4" t="s">
        <v>17</v>
      </c>
      <c r="V10" s="13">
        <v>10</v>
      </c>
      <c r="W10" s="13">
        <v>324</v>
      </c>
      <c r="X10" s="13">
        <v>575</v>
      </c>
      <c r="Y10" s="13">
        <v>5.75</v>
      </c>
      <c r="Z10" s="16">
        <v>7</v>
      </c>
      <c r="AA10" s="16">
        <v>60.7</v>
      </c>
      <c r="AB10" s="16">
        <v>138.6</v>
      </c>
      <c r="AC10" s="16">
        <v>0.97</v>
      </c>
      <c r="AE10" s="4" t="s">
        <v>17</v>
      </c>
      <c r="AF10" s="13">
        <v>10</v>
      </c>
      <c r="AG10" s="13">
        <v>216.7</v>
      </c>
      <c r="AH10" s="13">
        <v>301</v>
      </c>
      <c r="AI10" s="13">
        <v>3.01</v>
      </c>
      <c r="AJ10" s="16">
        <v>18</v>
      </c>
      <c r="AK10" s="16">
        <v>49.611111000000001</v>
      </c>
      <c r="AL10" s="16">
        <v>60.555555560000002</v>
      </c>
      <c r="AM10" s="16">
        <v>1.0900000000000001</v>
      </c>
    </row>
    <row r="11" spans="1:39" ht="15.75" customHeight="1">
      <c r="A11" s="4" t="s">
        <v>18</v>
      </c>
      <c r="B11" s="13">
        <v>18</v>
      </c>
      <c r="C11" s="13">
        <v>170.22</v>
      </c>
      <c r="D11" s="13">
        <v>179.44399999999999</v>
      </c>
      <c r="E11" s="13">
        <v>3.23</v>
      </c>
      <c r="F11" s="16">
        <v>10</v>
      </c>
      <c r="G11" s="16">
        <v>34.799999999999997</v>
      </c>
      <c r="H11" s="16">
        <v>44</v>
      </c>
      <c r="I11" s="16">
        <v>0.44</v>
      </c>
      <c r="K11" s="4" t="s">
        <v>18</v>
      </c>
      <c r="L11" s="13">
        <v>20</v>
      </c>
      <c r="M11" s="13">
        <v>165.25</v>
      </c>
      <c r="N11" s="13">
        <v>173</v>
      </c>
      <c r="O11" s="13">
        <v>3.46</v>
      </c>
      <c r="P11" s="16">
        <v>7</v>
      </c>
      <c r="Q11" s="16">
        <v>65.14</v>
      </c>
      <c r="R11" s="16">
        <v>218.57</v>
      </c>
      <c r="S11" s="16">
        <v>1.53</v>
      </c>
      <c r="U11" s="4" t="s">
        <v>18</v>
      </c>
      <c r="V11" s="13">
        <v>21</v>
      </c>
      <c r="W11" s="13">
        <v>264.10000000000002</v>
      </c>
      <c r="X11" s="13">
        <v>416.7</v>
      </c>
      <c r="Y11" s="13">
        <v>8.75</v>
      </c>
      <c r="Z11" s="16">
        <v>7</v>
      </c>
      <c r="AA11" s="16">
        <v>73.400000000000006</v>
      </c>
      <c r="AB11" s="16">
        <v>180</v>
      </c>
      <c r="AC11" s="16">
        <v>1.26</v>
      </c>
      <c r="AE11" s="4" t="s">
        <v>18</v>
      </c>
      <c r="AF11" s="13">
        <v>20</v>
      </c>
      <c r="AG11" s="13">
        <v>261.2</v>
      </c>
      <c r="AH11" s="13">
        <v>470.5</v>
      </c>
      <c r="AI11" s="13">
        <v>9.41</v>
      </c>
      <c r="AJ11" s="16">
        <v>7</v>
      </c>
      <c r="AK11" s="16">
        <v>46</v>
      </c>
      <c r="AL11" s="16">
        <v>92.85</v>
      </c>
      <c r="AM11" s="16">
        <v>0.65</v>
      </c>
    </row>
    <row r="12" spans="1:39" ht="15.75" customHeight="1">
      <c r="A12" s="4" t="s">
        <v>14</v>
      </c>
      <c r="B12" s="13">
        <v>30</v>
      </c>
      <c r="C12" s="13">
        <v>130.667</v>
      </c>
      <c r="D12" s="13">
        <v>196.667</v>
      </c>
      <c r="E12" s="13">
        <v>5.9</v>
      </c>
      <c r="F12" s="16"/>
      <c r="G12" s="16"/>
      <c r="H12" s="16"/>
      <c r="I12" s="16"/>
      <c r="K12" s="4" t="s">
        <v>14</v>
      </c>
      <c r="L12" s="13">
        <v>30</v>
      </c>
      <c r="M12" s="13">
        <v>155.16</v>
      </c>
      <c r="N12" s="13">
        <v>180</v>
      </c>
      <c r="O12" s="13">
        <v>5.4</v>
      </c>
      <c r="P12" s="16"/>
      <c r="Q12" s="16"/>
      <c r="R12" s="16"/>
      <c r="S12" s="16"/>
      <c r="U12" s="4" t="s">
        <v>14</v>
      </c>
      <c r="V12" s="13">
        <v>30</v>
      </c>
      <c r="W12" s="13">
        <v>263.5</v>
      </c>
      <c r="X12" s="13">
        <v>298</v>
      </c>
      <c r="Y12" s="13">
        <v>8.9499999999999993</v>
      </c>
      <c r="Z12" s="16"/>
      <c r="AA12" s="16"/>
      <c r="AB12" s="16"/>
      <c r="AC12" s="16"/>
      <c r="AE12" s="4" t="s">
        <v>14</v>
      </c>
      <c r="AF12" s="13">
        <v>29</v>
      </c>
      <c r="AG12" s="13">
        <v>268</v>
      </c>
      <c r="AH12" s="13">
        <v>415.17200000000003</v>
      </c>
      <c r="AI12" s="13">
        <v>12.04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>
        <v>40</v>
      </c>
      <c r="G15" s="16">
        <v>47.5</v>
      </c>
      <c r="H15" s="16">
        <v>82.75</v>
      </c>
      <c r="I15" s="16">
        <v>3.31</v>
      </c>
      <c r="K15" s="9" t="s">
        <v>19</v>
      </c>
      <c r="L15" s="12"/>
      <c r="M15" s="12"/>
      <c r="N15" s="12"/>
      <c r="O15" s="12"/>
      <c r="P15" s="16">
        <v>26</v>
      </c>
      <c r="Q15" s="16">
        <v>41.88</v>
      </c>
      <c r="R15" s="16">
        <v>121.53</v>
      </c>
      <c r="S15" s="16">
        <v>3.16</v>
      </c>
      <c r="U15" s="9" t="s">
        <v>19</v>
      </c>
      <c r="V15" s="11"/>
      <c r="W15" s="11"/>
      <c r="X15" s="11"/>
      <c r="Y15" s="11"/>
      <c r="Z15" s="16">
        <v>24</v>
      </c>
      <c r="AA15" s="16">
        <v>61.3</v>
      </c>
      <c r="AB15" s="16">
        <v>92.5</v>
      </c>
      <c r="AC15" s="16">
        <v>2.2200000000000002</v>
      </c>
      <c r="AE15" s="9" t="s">
        <v>19</v>
      </c>
      <c r="AF15" s="11"/>
      <c r="AG15" s="11"/>
      <c r="AH15" s="11"/>
      <c r="AI15" s="11"/>
      <c r="AJ15" s="16">
        <v>26</v>
      </c>
      <c r="AK15" s="16">
        <v>54.423076000000002</v>
      </c>
      <c r="AL15" s="16">
        <v>93.076922999999994</v>
      </c>
      <c r="AM15" s="16">
        <v>2.42</v>
      </c>
    </row>
    <row r="16" spans="1:39" ht="15.75" customHeight="1">
      <c r="A16" s="4" t="s">
        <v>20</v>
      </c>
      <c r="B16" s="12">
        <v>7</v>
      </c>
      <c r="C16" s="12">
        <v>31</v>
      </c>
      <c r="D16" s="12">
        <v>41.429000000000002</v>
      </c>
      <c r="E16" s="12">
        <v>0.28999999999999998</v>
      </c>
      <c r="F16" s="16">
        <v>14</v>
      </c>
      <c r="G16" s="16">
        <v>57.79</v>
      </c>
      <c r="H16" s="16">
        <v>234.29</v>
      </c>
      <c r="I16" s="16">
        <v>3.28</v>
      </c>
      <c r="K16" s="4" t="s">
        <v>20</v>
      </c>
      <c r="L16" s="12">
        <v>5</v>
      </c>
      <c r="M16" s="12">
        <v>27.5</v>
      </c>
      <c r="N16" s="12">
        <v>36</v>
      </c>
      <c r="O16" s="12">
        <v>0.18</v>
      </c>
      <c r="P16" s="16">
        <v>19</v>
      </c>
      <c r="Q16" s="16">
        <v>47.08</v>
      </c>
      <c r="R16" s="16">
        <v>125.26</v>
      </c>
      <c r="S16" s="16">
        <v>2.38</v>
      </c>
      <c r="U16" s="4" t="s">
        <v>20</v>
      </c>
      <c r="V16" s="12">
        <v>8</v>
      </c>
      <c r="W16" s="12">
        <v>56.9</v>
      </c>
      <c r="X16" s="12">
        <v>40</v>
      </c>
      <c r="Y16" s="12">
        <v>0.32</v>
      </c>
      <c r="Z16" s="16">
        <v>11</v>
      </c>
      <c r="AA16" s="16">
        <v>90.45</v>
      </c>
      <c r="AB16" s="16">
        <v>135.5</v>
      </c>
      <c r="AC16" s="16">
        <v>1.49</v>
      </c>
      <c r="AE16" s="4" t="s">
        <v>20</v>
      </c>
      <c r="AF16" s="12">
        <v>10</v>
      </c>
      <c r="AG16" s="12">
        <v>39.9</v>
      </c>
      <c r="AH16" s="12">
        <v>50</v>
      </c>
      <c r="AI16" s="12">
        <v>0.5</v>
      </c>
      <c r="AJ16" s="16">
        <v>14</v>
      </c>
      <c r="AK16" s="16">
        <v>75.642857000000006</v>
      </c>
      <c r="AL16" s="16">
        <v>161.42857140000001</v>
      </c>
      <c r="AM16" s="16">
        <v>2.2599999999999998</v>
      </c>
    </row>
    <row r="17" spans="1:39" ht="15.75" customHeight="1">
      <c r="A17" s="4" t="s">
        <v>21</v>
      </c>
      <c r="B17" s="12">
        <v>14</v>
      </c>
      <c r="C17" s="12">
        <v>33.93</v>
      </c>
      <c r="D17" s="12">
        <v>41.43</v>
      </c>
      <c r="E17" s="12">
        <v>0.57999999999999996</v>
      </c>
      <c r="F17" s="16">
        <v>4</v>
      </c>
      <c r="G17" s="16">
        <v>73.5</v>
      </c>
      <c r="H17" s="16">
        <v>172.5</v>
      </c>
      <c r="I17" s="16">
        <v>0.69</v>
      </c>
      <c r="K17" s="4" t="s">
        <v>21</v>
      </c>
      <c r="L17" s="12">
        <v>15</v>
      </c>
      <c r="M17" s="12">
        <v>36.866999999999997</v>
      </c>
      <c r="N17" s="12">
        <v>35.33</v>
      </c>
      <c r="O17" s="12">
        <v>0.53</v>
      </c>
      <c r="P17" s="16">
        <v>6</v>
      </c>
      <c r="Q17" s="16">
        <v>70</v>
      </c>
      <c r="R17" s="16">
        <v>146.66999999999999</v>
      </c>
      <c r="S17" s="16">
        <v>0.88</v>
      </c>
      <c r="U17" s="4" t="s">
        <v>21</v>
      </c>
      <c r="V17" s="12">
        <v>18</v>
      </c>
      <c r="W17" s="12">
        <v>44.8</v>
      </c>
      <c r="X17" s="12">
        <v>85.6</v>
      </c>
      <c r="Y17" s="12">
        <v>1.54</v>
      </c>
      <c r="Z17" s="16">
        <v>9</v>
      </c>
      <c r="AA17" s="16">
        <v>78.099999999999994</v>
      </c>
      <c r="AB17" s="16">
        <v>205.6</v>
      </c>
      <c r="AC17" s="16">
        <v>1.85</v>
      </c>
      <c r="AE17" s="4" t="s">
        <v>21</v>
      </c>
      <c r="AF17" s="12">
        <v>20</v>
      </c>
      <c r="AG17" s="12">
        <v>44.7</v>
      </c>
      <c r="AH17" s="12">
        <v>56.5</v>
      </c>
      <c r="AI17" s="12">
        <v>1.1299999999999999</v>
      </c>
      <c r="AJ17" s="16">
        <v>8</v>
      </c>
      <c r="AK17" s="16">
        <v>75</v>
      </c>
      <c r="AL17" s="16">
        <v>190</v>
      </c>
      <c r="AM17" s="16">
        <v>1.52</v>
      </c>
    </row>
    <row r="18" spans="1:39" ht="15.75" customHeight="1">
      <c r="A18" s="4" t="s">
        <v>22</v>
      </c>
      <c r="B18" s="11">
        <v>24</v>
      </c>
      <c r="C18" s="11">
        <v>26.91</v>
      </c>
      <c r="D18" s="11">
        <v>44.582999999999998</v>
      </c>
      <c r="E18" s="11">
        <v>1.07</v>
      </c>
      <c r="F18" s="16"/>
      <c r="G18" s="16"/>
      <c r="H18" s="16"/>
      <c r="I18" s="16"/>
      <c r="K18" s="4" t="s">
        <v>22</v>
      </c>
      <c r="L18" s="12">
        <v>26</v>
      </c>
      <c r="M18" s="12">
        <v>30.192</v>
      </c>
      <c r="N18" s="12">
        <v>51.153799999999997</v>
      </c>
      <c r="O18" s="12">
        <v>1.33</v>
      </c>
      <c r="P18" s="16"/>
      <c r="Q18" s="16"/>
      <c r="R18" s="16"/>
      <c r="S18" s="16"/>
      <c r="U18" s="4" t="s">
        <v>22</v>
      </c>
      <c r="V18" s="11">
        <v>23</v>
      </c>
      <c r="W18" s="11">
        <v>44.5</v>
      </c>
      <c r="X18" s="11">
        <v>80.400000000000006</v>
      </c>
      <c r="Y18" s="11">
        <v>1.85</v>
      </c>
      <c r="Z18" s="16"/>
      <c r="AA18" s="16"/>
      <c r="AB18" s="16"/>
      <c r="AC18" s="16"/>
      <c r="AE18" s="4" t="s">
        <v>22</v>
      </c>
      <c r="AF18" s="11">
        <v>22</v>
      </c>
      <c r="AG18" s="11">
        <v>42.045453999999999</v>
      </c>
      <c r="AH18" s="11">
        <v>88.181799999999996</v>
      </c>
      <c r="AI18" s="11">
        <v>1.94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>
      <c r="L21" s="31" t="s">
        <v>24</v>
      </c>
    </row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M1000"/>
  <sheetViews>
    <sheetView workbookViewId="0">
      <selection activeCell="C12" sqref="C12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1">
        <v>22</v>
      </c>
      <c r="G3" s="11">
        <v>30</v>
      </c>
      <c r="H3" s="11">
        <v>36.799999999999997</v>
      </c>
      <c r="I3" s="11">
        <v>0.81</v>
      </c>
      <c r="K3" s="9" t="s">
        <v>11</v>
      </c>
      <c r="L3" s="10"/>
      <c r="M3" s="10"/>
      <c r="N3" s="10"/>
      <c r="O3" s="10"/>
      <c r="P3" s="11">
        <v>29</v>
      </c>
      <c r="Q3" s="11">
        <v>35.267000000000003</v>
      </c>
      <c r="R3" s="11">
        <v>48.67</v>
      </c>
      <c r="S3" s="11">
        <v>1.46</v>
      </c>
      <c r="U3" s="9" t="s">
        <v>11</v>
      </c>
      <c r="V3" s="10"/>
      <c r="W3" s="10"/>
      <c r="X3" s="10"/>
      <c r="Y3" s="10"/>
      <c r="Z3" s="11">
        <v>33</v>
      </c>
      <c r="AA3" s="11">
        <v>58.9</v>
      </c>
      <c r="AB3" s="11">
        <v>131</v>
      </c>
      <c r="AC3" s="11">
        <v>4.33</v>
      </c>
      <c r="AE3" s="9" t="s">
        <v>11</v>
      </c>
      <c r="AF3" s="10"/>
      <c r="AG3" s="10"/>
      <c r="AH3" s="10"/>
      <c r="AI3" s="10"/>
      <c r="AJ3" s="12">
        <v>30</v>
      </c>
      <c r="AK3" s="12">
        <v>55.37</v>
      </c>
      <c r="AL3" s="12">
        <v>159.30000000000001</v>
      </c>
      <c r="AM3" s="12">
        <v>4.78</v>
      </c>
    </row>
    <row r="4" spans="1:39" ht="15.75" customHeight="1">
      <c r="A4" s="4" t="s">
        <v>12</v>
      </c>
      <c r="B4" s="10">
        <v>10</v>
      </c>
      <c r="C4" s="10">
        <v>130.80000000000001</v>
      </c>
      <c r="D4" s="10">
        <v>181</v>
      </c>
      <c r="E4" s="10">
        <v>1.81</v>
      </c>
      <c r="F4" s="11">
        <v>15</v>
      </c>
      <c r="G4" s="11">
        <v>31.33</v>
      </c>
      <c r="H4" s="11">
        <v>45.33</v>
      </c>
      <c r="I4" s="11">
        <v>0.68</v>
      </c>
      <c r="K4" s="4" t="s">
        <v>12</v>
      </c>
      <c r="L4" s="10">
        <v>10</v>
      </c>
      <c r="M4" s="10">
        <v>142.5</v>
      </c>
      <c r="N4" s="10">
        <v>119</v>
      </c>
      <c r="O4" s="10">
        <v>1.19</v>
      </c>
      <c r="P4" s="11">
        <v>20</v>
      </c>
      <c r="Q4" s="11">
        <v>25</v>
      </c>
      <c r="R4" s="11">
        <v>40.5</v>
      </c>
      <c r="S4" s="11">
        <v>0.81</v>
      </c>
      <c r="U4" s="4" t="s">
        <v>12</v>
      </c>
      <c r="V4" s="10">
        <v>10</v>
      </c>
      <c r="W4" s="10">
        <v>308.5</v>
      </c>
      <c r="X4" s="10">
        <v>760</v>
      </c>
      <c r="Y4" s="10">
        <v>7.6</v>
      </c>
      <c r="Z4" s="11">
        <v>20</v>
      </c>
      <c r="AA4" s="11">
        <v>34.130000000000003</v>
      </c>
      <c r="AB4" s="11">
        <v>77.5</v>
      </c>
      <c r="AC4" s="11">
        <v>1.55</v>
      </c>
      <c r="AE4" s="4" t="s">
        <v>12</v>
      </c>
      <c r="AF4" s="10">
        <v>9</v>
      </c>
      <c r="AG4" s="10">
        <v>292</v>
      </c>
      <c r="AH4" s="10">
        <v>658.8</v>
      </c>
      <c r="AI4" s="10">
        <v>5.93</v>
      </c>
      <c r="AJ4" s="11">
        <v>16</v>
      </c>
      <c r="AK4" s="11">
        <v>37.5</v>
      </c>
      <c r="AL4" s="11">
        <v>67.5</v>
      </c>
      <c r="AM4" s="11">
        <v>1.08</v>
      </c>
    </row>
    <row r="5" spans="1:39" ht="15.75" customHeight="1">
      <c r="A5" s="4" t="s">
        <v>13</v>
      </c>
      <c r="B5" s="10">
        <v>19</v>
      </c>
      <c r="C5" s="10">
        <v>138.26</v>
      </c>
      <c r="D5" s="10">
        <v>207.89</v>
      </c>
      <c r="E5" s="10">
        <v>3.95</v>
      </c>
      <c r="F5" s="11">
        <v>7</v>
      </c>
      <c r="G5" s="11">
        <v>21.71</v>
      </c>
      <c r="H5" s="11">
        <v>21.43</v>
      </c>
      <c r="I5" s="11">
        <v>0.15</v>
      </c>
      <c r="K5" s="4" t="s">
        <v>13</v>
      </c>
      <c r="L5" s="10">
        <v>20</v>
      </c>
      <c r="M5" s="10">
        <v>187.4</v>
      </c>
      <c r="N5" s="10">
        <v>188</v>
      </c>
      <c r="O5" s="10">
        <v>3.76</v>
      </c>
      <c r="P5" s="11">
        <v>8</v>
      </c>
      <c r="Q5" s="11">
        <v>38</v>
      </c>
      <c r="R5" s="11">
        <v>31</v>
      </c>
      <c r="S5" s="11">
        <v>0.248</v>
      </c>
      <c r="U5" s="4" t="s">
        <v>13</v>
      </c>
      <c r="V5" s="10">
        <v>19</v>
      </c>
      <c r="W5" s="10">
        <v>252.35</v>
      </c>
      <c r="X5" s="10">
        <v>431.57</v>
      </c>
      <c r="Y5" s="10">
        <v>8.1999999999999993</v>
      </c>
      <c r="Z5" s="11">
        <v>8</v>
      </c>
      <c r="AA5" s="11">
        <v>48.25</v>
      </c>
      <c r="AB5" s="11">
        <v>75</v>
      </c>
      <c r="AC5" s="11">
        <v>0.6</v>
      </c>
      <c r="AE5" s="4" t="s">
        <v>13</v>
      </c>
      <c r="AF5" s="10">
        <v>20</v>
      </c>
      <c r="AG5" s="10">
        <v>280.5</v>
      </c>
      <c r="AH5" s="10">
        <v>498</v>
      </c>
      <c r="AI5" s="10">
        <v>9.9600000000000009</v>
      </c>
      <c r="AJ5" s="11">
        <v>6</v>
      </c>
      <c r="AK5" s="11">
        <v>38.5</v>
      </c>
      <c r="AL5" s="11">
        <v>50</v>
      </c>
      <c r="AM5" s="11">
        <v>0.3</v>
      </c>
    </row>
    <row r="6" spans="1:39" ht="15.75" customHeight="1">
      <c r="A6" s="4" t="s">
        <v>14</v>
      </c>
      <c r="B6" s="10">
        <v>30</v>
      </c>
      <c r="C6" s="10">
        <v>61.1</v>
      </c>
      <c r="D6" s="10">
        <v>226</v>
      </c>
      <c r="E6" s="10">
        <v>6.78</v>
      </c>
      <c r="F6" s="11"/>
      <c r="G6" s="11"/>
      <c r="H6" s="11"/>
      <c r="I6" s="11"/>
      <c r="K6" s="4" t="s">
        <v>14</v>
      </c>
      <c r="L6" s="13">
        <v>30</v>
      </c>
      <c r="M6" s="13">
        <v>177.23</v>
      </c>
      <c r="N6" s="13">
        <v>199.3</v>
      </c>
      <c r="O6" s="13">
        <v>5.98</v>
      </c>
      <c r="P6" s="11"/>
      <c r="Q6" s="11"/>
      <c r="R6" s="11"/>
      <c r="S6" s="11"/>
      <c r="U6" s="4" t="s">
        <v>14</v>
      </c>
      <c r="V6" s="13">
        <v>30</v>
      </c>
      <c r="W6" s="13">
        <v>250.56</v>
      </c>
      <c r="X6" s="13">
        <v>366</v>
      </c>
      <c r="Y6" s="13">
        <v>10.98</v>
      </c>
      <c r="Z6" s="11"/>
      <c r="AA6" s="11"/>
      <c r="AB6" s="11"/>
      <c r="AC6" s="11"/>
      <c r="AE6" s="4" t="s">
        <v>14</v>
      </c>
      <c r="AF6" s="10">
        <v>26</v>
      </c>
      <c r="AG6" s="10">
        <v>269.95999999999998</v>
      </c>
      <c r="AH6" s="10">
        <v>379.61</v>
      </c>
      <c r="AI6" s="10">
        <v>9.8699999999999992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22</v>
      </c>
      <c r="G9" s="16">
        <v>2.15</v>
      </c>
      <c r="H9" s="16">
        <v>85</v>
      </c>
      <c r="I9" s="16">
        <v>1.88</v>
      </c>
      <c r="K9" s="9" t="s">
        <v>16</v>
      </c>
      <c r="L9" s="13"/>
      <c r="M9" s="13"/>
      <c r="N9" s="13"/>
      <c r="O9" s="13"/>
      <c r="P9" s="16">
        <v>25</v>
      </c>
      <c r="Q9" s="16">
        <v>50.75</v>
      </c>
      <c r="R9" s="16">
        <v>144.80000000000001</v>
      </c>
      <c r="S9" s="16">
        <v>3.62</v>
      </c>
      <c r="U9" s="9" t="s">
        <v>16</v>
      </c>
      <c r="V9" s="13"/>
      <c r="W9" s="13"/>
      <c r="X9" s="13"/>
      <c r="Y9" s="13"/>
      <c r="Z9" s="16">
        <v>26</v>
      </c>
      <c r="AA9" s="16">
        <v>65.73</v>
      </c>
      <c r="AB9" s="16">
        <v>130.38</v>
      </c>
      <c r="AC9" s="16">
        <v>3.39</v>
      </c>
      <c r="AE9" s="9" t="s">
        <v>16</v>
      </c>
      <c r="AF9" s="13"/>
      <c r="AG9" s="13"/>
      <c r="AH9" s="13"/>
      <c r="AI9" s="13"/>
      <c r="AJ9" s="16">
        <v>22</v>
      </c>
      <c r="AK9" s="16">
        <v>58.23</v>
      </c>
      <c r="AL9" s="16">
        <v>119.54</v>
      </c>
      <c r="AM9" s="16">
        <v>2.63</v>
      </c>
    </row>
    <row r="10" spans="1:39" ht="15.75" customHeight="1">
      <c r="A10" s="4" t="s">
        <v>17</v>
      </c>
      <c r="B10" s="13">
        <v>10</v>
      </c>
      <c r="C10" s="13">
        <v>149</v>
      </c>
      <c r="D10" s="13">
        <v>169</v>
      </c>
      <c r="E10" s="13">
        <v>1.69</v>
      </c>
      <c r="F10" s="16">
        <v>18</v>
      </c>
      <c r="G10" s="16">
        <v>33.94</v>
      </c>
      <c r="H10" s="16">
        <v>51.67</v>
      </c>
      <c r="I10" s="16">
        <v>0.93</v>
      </c>
      <c r="K10" s="4" t="s">
        <v>17</v>
      </c>
      <c r="L10" s="13">
        <v>8</v>
      </c>
      <c r="M10" s="13">
        <v>170.5</v>
      </c>
      <c r="N10" s="13">
        <v>125</v>
      </c>
      <c r="O10" s="13">
        <v>1</v>
      </c>
      <c r="P10" s="16">
        <v>14</v>
      </c>
      <c r="Q10" s="16">
        <v>49.2</v>
      </c>
      <c r="R10" s="16">
        <v>90</v>
      </c>
      <c r="S10" s="16">
        <v>1.26</v>
      </c>
      <c r="U10" s="4" t="s">
        <v>17</v>
      </c>
      <c r="V10" s="13">
        <v>8</v>
      </c>
      <c r="W10" s="13">
        <v>305</v>
      </c>
      <c r="X10" s="13">
        <v>656.25</v>
      </c>
      <c r="Y10" s="13">
        <v>5.25</v>
      </c>
      <c r="Z10" s="16">
        <v>11</v>
      </c>
      <c r="AA10" s="16">
        <v>55.36</v>
      </c>
      <c r="AB10" s="16">
        <v>168.18</v>
      </c>
      <c r="AC10" s="16">
        <v>1.85</v>
      </c>
      <c r="AE10" s="4" t="s">
        <v>17</v>
      </c>
      <c r="AF10" s="13">
        <v>10</v>
      </c>
      <c r="AG10" s="13">
        <v>314.2</v>
      </c>
      <c r="AH10" s="13">
        <v>564</v>
      </c>
      <c r="AI10" s="13">
        <v>5.64</v>
      </c>
      <c r="AJ10" s="16">
        <v>15</v>
      </c>
      <c r="AK10" s="16">
        <v>43.6</v>
      </c>
      <c r="AL10" s="16">
        <v>71.33</v>
      </c>
      <c r="AM10" s="16">
        <v>1.07</v>
      </c>
    </row>
    <row r="11" spans="1:39" ht="15.75" customHeight="1">
      <c r="A11" s="4" t="s">
        <v>18</v>
      </c>
      <c r="B11" s="13">
        <v>22</v>
      </c>
      <c r="C11" s="13">
        <v>169</v>
      </c>
      <c r="D11" s="13">
        <v>170.9</v>
      </c>
      <c r="E11" s="13">
        <v>3.76</v>
      </c>
      <c r="F11" s="16">
        <v>11</v>
      </c>
      <c r="G11" s="16">
        <v>4.84</v>
      </c>
      <c r="H11" s="16">
        <v>89</v>
      </c>
      <c r="I11" s="16">
        <v>0.98</v>
      </c>
      <c r="K11" s="4" t="s">
        <v>18</v>
      </c>
      <c r="L11" s="13">
        <v>20</v>
      </c>
      <c r="M11" s="13">
        <v>149.69999999999999</v>
      </c>
      <c r="N11" s="13">
        <v>208</v>
      </c>
      <c r="O11" s="13">
        <v>4.16</v>
      </c>
      <c r="P11" s="16">
        <v>6</v>
      </c>
      <c r="Q11" s="16">
        <v>71.67</v>
      </c>
      <c r="R11" s="16">
        <v>211.67</v>
      </c>
      <c r="S11" s="16">
        <v>1.27</v>
      </c>
      <c r="U11" s="4" t="s">
        <v>18</v>
      </c>
      <c r="V11" s="10">
        <v>18</v>
      </c>
      <c r="W11" s="10">
        <v>252.9</v>
      </c>
      <c r="X11" s="10">
        <v>414.4</v>
      </c>
      <c r="Y11" s="10">
        <v>7.46</v>
      </c>
      <c r="Z11" s="16">
        <v>7</v>
      </c>
      <c r="AA11" s="16">
        <v>40.29</v>
      </c>
      <c r="AB11" s="16">
        <v>52.86</v>
      </c>
      <c r="AC11" s="16">
        <v>0.37</v>
      </c>
      <c r="AE11" s="4" t="s">
        <v>18</v>
      </c>
      <c r="AF11" s="13">
        <v>20</v>
      </c>
      <c r="AG11" s="13">
        <v>219.55</v>
      </c>
      <c r="AH11" s="13">
        <v>341</v>
      </c>
      <c r="AI11" s="13">
        <v>6.82</v>
      </c>
      <c r="AJ11" s="16">
        <v>9</v>
      </c>
      <c r="AK11" s="16">
        <v>47.11</v>
      </c>
      <c r="AL11" s="16">
        <v>90</v>
      </c>
      <c r="AM11" s="16">
        <v>0.81</v>
      </c>
    </row>
    <row r="12" spans="1:39" ht="15.75" customHeight="1">
      <c r="A12" s="4" t="s">
        <v>14</v>
      </c>
      <c r="B12" s="13">
        <v>30</v>
      </c>
      <c r="C12" s="10">
        <v>61.1</v>
      </c>
      <c r="D12" s="13">
        <v>226</v>
      </c>
      <c r="E12" s="13">
        <v>6.78</v>
      </c>
      <c r="F12" s="16"/>
      <c r="G12" s="16"/>
      <c r="H12" s="16"/>
      <c r="I12" s="16"/>
      <c r="K12" s="4" t="s">
        <v>14</v>
      </c>
      <c r="L12" s="13">
        <v>30</v>
      </c>
      <c r="M12" s="13">
        <v>177.23</v>
      </c>
      <c r="N12" s="13">
        <v>199.3</v>
      </c>
      <c r="O12" s="13">
        <v>5.98</v>
      </c>
      <c r="P12" s="16"/>
      <c r="Q12" s="16"/>
      <c r="R12" s="16"/>
      <c r="S12" s="16"/>
      <c r="U12" s="4" t="s">
        <v>14</v>
      </c>
      <c r="V12" s="13">
        <v>30</v>
      </c>
      <c r="W12" s="13">
        <v>250.56</v>
      </c>
      <c r="X12" s="13">
        <v>366</v>
      </c>
      <c r="Y12" s="13">
        <v>10.98</v>
      </c>
      <c r="Z12" s="16"/>
      <c r="AA12" s="16"/>
      <c r="AB12" s="16"/>
      <c r="AC12" s="16"/>
      <c r="AE12" s="4" t="s">
        <v>14</v>
      </c>
      <c r="AF12" s="10">
        <v>26</v>
      </c>
      <c r="AG12" s="10">
        <v>269.95999999999998</v>
      </c>
      <c r="AH12" s="10">
        <v>379.61</v>
      </c>
      <c r="AI12" s="10">
        <v>9.8699999999999992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>
        <v>22</v>
      </c>
      <c r="G15" s="16">
        <v>2.15</v>
      </c>
      <c r="H15" s="16">
        <v>85</v>
      </c>
      <c r="I15" s="16">
        <v>1.88</v>
      </c>
      <c r="K15" s="9" t="s">
        <v>19</v>
      </c>
      <c r="L15" s="12"/>
      <c r="M15" s="12"/>
      <c r="N15" s="12"/>
      <c r="O15" s="12"/>
      <c r="P15" s="16">
        <v>25</v>
      </c>
      <c r="Q15" s="16">
        <v>50.75</v>
      </c>
      <c r="R15" s="16">
        <v>144.80000000000001</v>
      </c>
      <c r="S15" s="16">
        <v>3.62</v>
      </c>
      <c r="U15" s="9" t="s">
        <v>19</v>
      </c>
      <c r="V15" s="12"/>
      <c r="W15" s="12"/>
      <c r="X15" s="12"/>
      <c r="Y15" s="12"/>
      <c r="Z15" s="16">
        <v>26</v>
      </c>
      <c r="AA15" s="16">
        <v>65.73</v>
      </c>
      <c r="AB15" s="16">
        <v>130.38</v>
      </c>
      <c r="AC15" s="16">
        <v>3.39</v>
      </c>
      <c r="AE15" s="9" t="s">
        <v>19</v>
      </c>
      <c r="AF15" s="12"/>
      <c r="AG15" s="12"/>
      <c r="AH15" s="12"/>
      <c r="AI15" s="12"/>
      <c r="AJ15" s="16">
        <v>22</v>
      </c>
      <c r="AK15" s="16">
        <v>58.23</v>
      </c>
      <c r="AL15" s="16">
        <v>119.54</v>
      </c>
      <c r="AM15" s="16">
        <v>2.63</v>
      </c>
    </row>
    <row r="16" spans="1:39" ht="15.75" customHeight="1">
      <c r="A16" s="4" t="s">
        <v>20</v>
      </c>
      <c r="B16" s="12">
        <v>16</v>
      </c>
      <c r="C16" s="12">
        <v>50.68</v>
      </c>
      <c r="D16" s="12">
        <v>143</v>
      </c>
      <c r="E16" s="12">
        <v>2.29</v>
      </c>
      <c r="F16" s="16">
        <v>9</v>
      </c>
      <c r="G16" s="16">
        <v>25.4</v>
      </c>
      <c r="H16" s="16">
        <v>33.299999999999997</v>
      </c>
      <c r="I16" s="16">
        <v>0.3</v>
      </c>
      <c r="K16" s="4" t="s">
        <v>20</v>
      </c>
      <c r="L16" s="12">
        <v>7</v>
      </c>
      <c r="M16" s="12">
        <v>34</v>
      </c>
      <c r="N16" s="12">
        <v>33.4</v>
      </c>
      <c r="O16" s="12">
        <v>0.23400000000000001</v>
      </c>
      <c r="P16" s="16">
        <v>14</v>
      </c>
      <c r="Q16" s="16">
        <v>55.57</v>
      </c>
      <c r="R16" s="16">
        <v>122.15</v>
      </c>
      <c r="S16" s="16">
        <v>1.71</v>
      </c>
      <c r="U16" s="4" t="s">
        <v>20</v>
      </c>
      <c r="V16" s="12">
        <v>4</v>
      </c>
      <c r="W16" s="12">
        <v>66.75</v>
      </c>
      <c r="X16" s="12">
        <v>120</v>
      </c>
      <c r="Y16" s="12">
        <v>0.48</v>
      </c>
      <c r="Z16" s="16">
        <v>17</v>
      </c>
      <c r="AA16" s="16">
        <v>86.24</v>
      </c>
      <c r="AB16" s="16">
        <v>148.82</v>
      </c>
      <c r="AC16" s="16">
        <v>2.5299999999999998</v>
      </c>
      <c r="AE16" s="4" t="s">
        <v>20</v>
      </c>
      <c r="AF16" s="12">
        <v>11</v>
      </c>
      <c r="AG16" s="12">
        <v>60.36</v>
      </c>
      <c r="AH16" s="12">
        <v>111.82</v>
      </c>
      <c r="AI16" s="12">
        <v>1.23</v>
      </c>
      <c r="AJ16" s="16">
        <v>13</v>
      </c>
      <c r="AK16" s="16">
        <v>61.85</v>
      </c>
      <c r="AL16" s="16">
        <v>140</v>
      </c>
      <c r="AM16" s="16">
        <v>1.82</v>
      </c>
    </row>
    <row r="17" spans="1:39" ht="15.75" customHeight="1">
      <c r="A17" s="4" t="s">
        <v>21</v>
      </c>
      <c r="B17" s="12">
        <v>6</v>
      </c>
      <c r="C17" s="12">
        <v>38.299999999999997</v>
      </c>
      <c r="D17" s="12">
        <v>183.3</v>
      </c>
      <c r="E17" s="12">
        <v>1.1000000000000001</v>
      </c>
      <c r="F17" s="16">
        <v>13</v>
      </c>
      <c r="G17" s="16">
        <v>28.538</v>
      </c>
      <c r="H17" s="16">
        <v>41.537999999999997</v>
      </c>
      <c r="I17" s="16">
        <v>0.54</v>
      </c>
      <c r="K17" s="4" t="s">
        <v>21</v>
      </c>
      <c r="L17" s="12">
        <v>17</v>
      </c>
      <c r="M17" s="12">
        <v>37.65</v>
      </c>
      <c r="N17" s="12">
        <v>57.06</v>
      </c>
      <c r="O17" s="12">
        <v>0.97</v>
      </c>
      <c r="P17" s="16">
        <v>16</v>
      </c>
      <c r="Q17" s="16">
        <v>40.3125</v>
      </c>
      <c r="R17" s="16">
        <v>81.25</v>
      </c>
      <c r="S17" s="16">
        <v>1.3</v>
      </c>
      <c r="U17" s="4" t="s">
        <v>21</v>
      </c>
      <c r="V17" s="12">
        <v>20</v>
      </c>
      <c r="W17" s="12">
        <v>54.45</v>
      </c>
      <c r="X17" s="12">
        <v>137.5</v>
      </c>
      <c r="Y17" s="12">
        <v>2.75</v>
      </c>
      <c r="Z17" s="16">
        <v>10</v>
      </c>
      <c r="AA17" s="16">
        <v>88.4</v>
      </c>
      <c r="AB17" s="16">
        <v>222</v>
      </c>
      <c r="AC17" s="16">
        <v>2.2200000000000002</v>
      </c>
      <c r="AE17" s="4" t="s">
        <v>21</v>
      </c>
      <c r="AF17" s="12">
        <v>13</v>
      </c>
      <c r="AG17" s="12">
        <v>54.92</v>
      </c>
      <c r="AH17" s="12">
        <v>80.769000000000005</v>
      </c>
      <c r="AI17" s="12">
        <v>1.05</v>
      </c>
      <c r="AJ17" s="16">
        <v>8</v>
      </c>
      <c r="AK17" s="16">
        <v>62.125</v>
      </c>
      <c r="AL17" s="16">
        <v>103.75</v>
      </c>
      <c r="AM17" s="16">
        <v>0.83</v>
      </c>
    </row>
    <row r="18" spans="1:39" ht="15.75" customHeight="1">
      <c r="A18" s="4" t="s">
        <v>22</v>
      </c>
      <c r="B18" s="12">
        <v>22</v>
      </c>
      <c r="C18" s="12">
        <v>30</v>
      </c>
      <c r="D18" s="12">
        <v>36.799999999999997</v>
      </c>
      <c r="E18" s="12">
        <v>0.81</v>
      </c>
      <c r="F18" s="16"/>
      <c r="G18" s="16"/>
      <c r="H18" s="16"/>
      <c r="I18" s="16"/>
      <c r="K18" s="4" t="s">
        <v>22</v>
      </c>
      <c r="L18" s="11">
        <v>29</v>
      </c>
      <c r="M18" s="11">
        <v>35.267000000000003</v>
      </c>
      <c r="N18" s="11">
        <v>48.67</v>
      </c>
      <c r="O18" s="11">
        <v>1.46</v>
      </c>
      <c r="P18" s="16"/>
      <c r="Q18" s="16"/>
      <c r="R18" s="16"/>
      <c r="S18" s="16"/>
      <c r="U18" s="4" t="s">
        <v>22</v>
      </c>
      <c r="V18" s="11">
        <v>33</v>
      </c>
      <c r="W18" s="11">
        <v>58.9</v>
      </c>
      <c r="X18" s="11">
        <v>131</v>
      </c>
      <c r="Y18" s="11">
        <v>4.33</v>
      </c>
      <c r="Z18" s="16"/>
      <c r="AA18" s="16"/>
      <c r="AB18" s="16"/>
      <c r="AC18" s="16"/>
      <c r="AE18" s="4" t="s">
        <v>22</v>
      </c>
      <c r="AF18" s="12">
        <v>30</v>
      </c>
      <c r="AG18" s="12">
        <v>55.37</v>
      </c>
      <c r="AH18" s="12">
        <v>159.30000000000001</v>
      </c>
      <c r="AI18" s="12">
        <v>4.78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M1000"/>
  <sheetViews>
    <sheetView workbookViewId="0">
      <selection activeCell="AK12" sqref="AK12"/>
    </sheetView>
  </sheetViews>
  <sheetFormatPr baseColWidth="10" defaultColWidth="12.6640625" defaultRowHeight="15" customHeight="1"/>
  <cols>
    <col min="1" max="1" width="12.33203125" customWidth="1"/>
    <col min="2" max="2" width="5.5" customWidth="1"/>
    <col min="3" max="9" width="9.1640625" customWidth="1"/>
    <col min="10" max="10" width="1.5" customWidth="1"/>
    <col min="11" max="11" width="12.33203125" customWidth="1"/>
    <col min="12" max="12" width="5.5" customWidth="1"/>
    <col min="13" max="19" width="9.1640625" customWidth="1"/>
    <col min="20" max="20" width="1.5" customWidth="1"/>
    <col min="21" max="21" width="12.33203125" customWidth="1"/>
    <col min="22" max="29" width="9.1640625" customWidth="1"/>
    <col min="30" max="30" width="1.5" customWidth="1"/>
    <col min="31" max="31" width="12.33203125" customWidth="1"/>
    <col min="32" max="39" width="9.1640625" customWidth="1"/>
  </cols>
  <sheetData>
    <row r="1" spans="1:39" ht="15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3" t="s">
        <v>1</v>
      </c>
      <c r="K1" s="3"/>
      <c r="L1" s="3"/>
      <c r="M1" s="3"/>
      <c r="N1" s="3"/>
      <c r="O1" s="3" t="s">
        <v>2</v>
      </c>
      <c r="P1" s="3"/>
      <c r="Q1" s="3"/>
      <c r="R1" s="3"/>
      <c r="S1" s="3"/>
      <c r="T1" s="3" t="s">
        <v>1</v>
      </c>
      <c r="U1" s="3"/>
      <c r="V1" s="3"/>
      <c r="W1" s="3"/>
      <c r="X1" s="3"/>
      <c r="Y1" s="3" t="s">
        <v>3</v>
      </c>
      <c r="Z1" s="3"/>
      <c r="AA1" s="3"/>
      <c r="AB1" s="3"/>
      <c r="AC1" s="3"/>
      <c r="AD1" s="3" t="s">
        <v>1</v>
      </c>
      <c r="AE1" s="3"/>
      <c r="AF1" s="3"/>
      <c r="AG1" s="3"/>
      <c r="AH1" s="3"/>
      <c r="AI1" s="3" t="s">
        <v>4</v>
      </c>
      <c r="AJ1" s="3"/>
      <c r="AK1" s="3"/>
      <c r="AL1" s="3"/>
      <c r="AM1" s="3"/>
    </row>
    <row r="2" spans="1:39" ht="36" customHeight="1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8" t="s">
        <v>7</v>
      </c>
      <c r="H2" s="8" t="s">
        <v>8</v>
      </c>
      <c r="I2" s="8" t="s">
        <v>9</v>
      </c>
      <c r="K2" s="4" t="s">
        <v>5</v>
      </c>
      <c r="L2" s="5" t="s">
        <v>6</v>
      </c>
      <c r="M2" s="6" t="s">
        <v>7</v>
      </c>
      <c r="N2" s="6" t="s">
        <v>8</v>
      </c>
      <c r="O2" s="6" t="s">
        <v>9</v>
      </c>
      <c r="P2" s="7" t="s">
        <v>10</v>
      </c>
      <c r="Q2" s="8" t="s">
        <v>7</v>
      </c>
      <c r="R2" s="8" t="s">
        <v>8</v>
      </c>
      <c r="S2" s="8" t="s">
        <v>9</v>
      </c>
      <c r="U2" s="4" t="s">
        <v>5</v>
      </c>
      <c r="V2" s="5" t="s">
        <v>6</v>
      </c>
      <c r="W2" s="6" t="s">
        <v>7</v>
      </c>
      <c r="X2" s="6" t="s">
        <v>8</v>
      </c>
      <c r="Y2" s="6" t="s">
        <v>9</v>
      </c>
      <c r="Z2" s="7" t="s">
        <v>10</v>
      </c>
      <c r="AA2" s="8" t="s">
        <v>7</v>
      </c>
      <c r="AB2" s="8" t="s">
        <v>8</v>
      </c>
      <c r="AC2" s="8" t="s">
        <v>9</v>
      </c>
      <c r="AE2" s="4" t="s">
        <v>5</v>
      </c>
      <c r="AF2" s="5" t="s">
        <v>6</v>
      </c>
      <c r="AG2" s="6" t="s">
        <v>7</v>
      </c>
      <c r="AH2" s="6" t="s">
        <v>8</v>
      </c>
      <c r="AI2" s="6" t="s">
        <v>9</v>
      </c>
      <c r="AJ2" s="7" t="s">
        <v>10</v>
      </c>
      <c r="AK2" s="8" t="s">
        <v>7</v>
      </c>
      <c r="AL2" s="8" t="s">
        <v>8</v>
      </c>
      <c r="AM2" s="8" t="s">
        <v>9</v>
      </c>
    </row>
    <row r="3" spans="1:39" ht="15.75" customHeight="1">
      <c r="A3" s="9" t="s">
        <v>11</v>
      </c>
      <c r="B3" s="10"/>
      <c r="C3" s="10"/>
      <c r="D3" s="10"/>
      <c r="E3" s="10"/>
      <c r="F3" s="11">
        <v>22</v>
      </c>
      <c r="G3" s="11">
        <v>38.136000000000003</v>
      </c>
      <c r="H3" s="11">
        <v>55.908999999999999</v>
      </c>
      <c r="I3" s="11">
        <v>1.23</v>
      </c>
      <c r="K3" s="9" t="s">
        <v>11</v>
      </c>
      <c r="L3" s="10"/>
      <c r="M3" s="10"/>
      <c r="N3" s="10"/>
      <c r="O3" s="10"/>
      <c r="P3" s="12">
        <v>27</v>
      </c>
      <c r="Q3" s="12">
        <v>41.04</v>
      </c>
      <c r="R3" s="12">
        <v>58.15</v>
      </c>
      <c r="S3" s="12">
        <v>1.57</v>
      </c>
      <c r="U3" s="9" t="s">
        <v>11</v>
      </c>
      <c r="V3" s="10"/>
      <c r="W3" s="10"/>
      <c r="X3" s="10"/>
      <c r="Y3" s="10"/>
      <c r="Z3" s="12">
        <v>25</v>
      </c>
      <c r="AA3" s="12">
        <v>52.28</v>
      </c>
      <c r="AB3" s="12">
        <v>98.4</v>
      </c>
      <c r="AC3" s="12">
        <v>2.46</v>
      </c>
      <c r="AE3" s="9" t="s">
        <v>11</v>
      </c>
      <c r="AF3" s="10"/>
      <c r="AG3" s="10"/>
      <c r="AH3" s="10"/>
      <c r="AI3" s="10"/>
      <c r="AJ3" s="11">
        <v>28</v>
      </c>
      <c r="AK3" s="11">
        <v>99.8</v>
      </c>
      <c r="AL3" s="11">
        <v>111.1</v>
      </c>
      <c r="AM3" s="11">
        <v>3.11</v>
      </c>
    </row>
    <row r="4" spans="1:39" ht="15.75" customHeight="1">
      <c r="A4" s="4" t="s">
        <v>12</v>
      </c>
      <c r="B4" s="10">
        <v>7</v>
      </c>
      <c r="C4" s="10">
        <v>167.1</v>
      </c>
      <c r="D4" s="10">
        <v>217.1</v>
      </c>
      <c r="E4" s="10">
        <v>1.52</v>
      </c>
      <c r="F4" s="11">
        <v>14</v>
      </c>
      <c r="G4" s="11">
        <v>42.1</v>
      </c>
      <c r="H4" s="11">
        <v>52.9</v>
      </c>
      <c r="I4" s="11">
        <v>0.74</v>
      </c>
      <c r="K4" s="4" t="s">
        <v>12</v>
      </c>
      <c r="L4" s="10">
        <v>10</v>
      </c>
      <c r="M4" s="10">
        <v>149.69999999999999</v>
      </c>
      <c r="N4" s="10">
        <v>167</v>
      </c>
      <c r="O4" s="10">
        <v>1.67</v>
      </c>
      <c r="P4" s="11">
        <v>17</v>
      </c>
      <c r="Q4" s="11">
        <v>37.06</v>
      </c>
      <c r="R4" s="11">
        <v>44.71</v>
      </c>
      <c r="S4" s="11">
        <v>0.76</v>
      </c>
      <c r="U4" s="4" t="s">
        <v>12</v>
      </c>
      <c r="V4" s="10">
        <v>10</v>
      </c>
      <c r="W4" s="10">
        <v>290.5</v>
      </c>
      <c r="X4" s="10">
        <v>659</v>
      </c>
      <c r="Y4" s="10">
        <v>6.59</v>
      </c>
      <c r="Z4" s="11">
        <v>20</v>
      </c>
      <c r="AA4" s="11">
        <v>49</v>
      </c>
      <c r="AB4" s="11">
        <v>64.5</v>
      </c>
      <c r="AC4" s="11">
        <v>1.29</v>
      </c>
      <c r="AE4" s="4" t="s">
        <v>12</v>
      </c>
      <c r="AF4" s="10">
        <v>10</v>
      </c>
      <c r="AG4" s="10">
        <v>276.10000000000002</v>
      </c>
      <c r="AH4" s="10">
        <v>485</v>
      </c>
      <c r="AI4" s="10">
        <v>4.8499999999999996</v>
      </c>
      <c r="AJ4" s="11">
        <v>14</v>
      </c>
      <c r="AK4" s="11">
        <v>160.75</v>
      </c>
      <c r="AL4" s="11">
        <v>75.7</v>
      </c>
      <c r="AM4" s="11">
        <v>1.06</v>
      </c>
    </row>
    <row r="5" spans="1:39" ht="15.75" customHeight="1">
      <c r="A5" s="4" t="s">
        <v>13</v>
      </c>
      <c r="B5" s="10">
        <v>19</v>
      </c>
      <c r="C5" s="10">
        <v>173.89</v>
      </c>
      <c r="D5" s="10">
        <v>198.95</v>
      </c>
      <c r="E5" s="10">
        <v>3.78</v>
      </c>
      <c r="F5" s="11">
        <v>8</v>
      </c>
      <c r="G5" s="11">
        <v>27.125</v>
      </c>
      <c r="H5" s="11">
        <v>22.5</v>
      </c>
      <c r="I5" s="11">
        <v>0.18</v>
      </c>
      <c r="K5" s="4" t="s">
        <v>13</v>
      </c>
      <c r="L5" s="10">
        <v>17</v>
      </c>
      <c r="M5" s="10">
        <v>112.3</v>
      </c>
      <c r="N5" s="10">
        <v>173.5</v>
      </c>
      <c r="O5" s="10">
        <v>2.95</v>
      </c>
      <c r="P5" s="11">
        <v>7</v>
      </c>
      <c r="Q5" s="11">
        <v>26.86</v>
      </c>
      <c r="R5" s="11">
        <v>30</v>
      </c>
      <c r="S5" s="11">
        <v>0.21</v>
      </c>
      <c r="U5" s="4" t="s">
        <v>13</v>
      </c>
      <c r="V5" s="10">
        <v>20</v>
      </c>
      <c r="W5" s="10">
        <v>263.8</v>
      </c>
      <c r="X5" s="10">
        <v>414.5</v>
      </c>
      <c r="Y5" s="10">
        <v>8.2899999999999991</v>
      </c>
      <c r="Z5" s="11">
        <v>9</v>
      </c>
      <c r="AA5" s="11">
        <v>44</v>
      </c>
      <c r="AB5" s="11">
        <v>32.22</v>
      </c>
      <c r="AC5" s="11">
        <v>0.28999999999999998</v>
      </c>
      <c r="AE5" s="4" t="s">
        <v>13</v>
      </c>
      <c r="AF5" s="13">
        <v>20</v>
      </c>
      <c r="AG5" s="13">
        <v>582.29999999999995</v>
      </c>
      <c r="AH5" s="13">
        <v>479</v>
      </c>
      <c r="AI5" s="13">
        <v>9.58</v>
      </c>
      <c r="AJ5" s="11">
        <v>7</v>
      </c>
      <c r="AK5" s="11">
        <v>34.9</v>
      </c>
      <c r="AL5" s="11">
        <v>42.8</v>
      </c>
      <c r="AM5" s="11">
        <v>0.3</v>
      </c>
    </row>
    <row r="6" spans="1:39" ht="15.75" customHeight="1">
      <c r="A6" s="4" t="s">
        <v>14</v>
      </c>
      <c r="B6" s="10">
        <v>31</v>
      </c>
      <c r="C6" s="10">
        <v>175.9</v>
      </c>
      <c r="D6" s="10">
        <v>190.9</v>
      </c>
      <c r="E6" s="10">
        <v>5.92</v>
      </c>
      <c r="F6" s="11"/>
      <c r="G6" s="11"/>
      <c r="H6" s="11"/>
      <c r="I6" s="11"/>
      <c r="K6" s="4" t="s">
        <v>14</v>
      </c>
      <c r="L6" s="13">
        <v>30</v>
      </c>
      <c r="M6" s="13">
        <v>179.6</v>
      </c>
      <c r="N6" s="13">
        <v>165.33</v>
      </c>
      <c r="O6" s="13">
        <v>4.96</v>
      </c>
      <c r="P6" s="11"/>
      <c r="Q6" s="11"/>
      <c r="R6" s="11"/>
      <c r="S6" s="11"/>
      <c r="U6" s="4" t="s">
        <v>14</v>
      </c>
      <c r="V6" s="10">
        <v>30</v>
      </c>
      <c r="W6" s="10">
        <v>271.3</v>
      </c>
      <c r="X6" s="10">
        <v>347.33</v>
      </c>
      <c r="Y6" s="10">
        <v>10.42</v>
      </c>
      <c r="Z6" s="11"/>
      <c r="AA6" s="11"/>
      <c r="AB6" s="11"/>
      <c r="AC6" s="11"/>
      <c r="AE6" s="4" t="s">
        <v>14</v>
      </c>
      <c r="AF6" s="10">
        <v>28</v>
      </c>
      <c r="AG6" s="10">
        <v>343.16</v>
      </c>
      <c r="AH6" s="10">
        <v>311</v>
      </c>
      <c r="AI6" s="10">
        <v>8.7100000000000009</v>
      </c>
      <c r="AJ6" s="11"/>
      <c r="AK6" s="11"/>
      <c r="AL6" s="11"/>
      <c r="AM6" s="11"/>
    </row>
    <row r="7" spans="1:39" ht="15.75" customHeight="1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E7" s="1"/>
      <c r="AF7" s="1"/>
      <c r="AG7" s="1"/>
      <c r="AH7" s="1"/>
      <c r="AI7" s="1"/>
      <c r="AJ7" s="1"/>
      <c r="AK7" s="1"/>
      <c r="AL7" s="1"/>
      <c r="AM7" s="1"/>
    </row>
    <row r="8" spans="1:39" ht="36" customHeight="1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14" t="s">
        <v>15</v>
      </c>
      <c r="G8" s="15" t="s">
        <v>7</v>
      </c>
      <c r="H8" s="15" t="s">
        <v>8</v>
      </c>
      <c r="I8" s="15" t="s">
        <v>9</v>
      </c>
      <c r="K8" s="4" t="s">
        <v>5</v>
      </c>
      <c r="L8" s="5" t="s">
        <v>6</v>
      </c>
      <c r="M8" s="6" t="s">
        <v>7</v>
      </c>
      <c r="N8" s="6" t="s">
        <v>8</v>
      </c>
      <c r="O8" s="6" t="s">
        <v>9</v>
      </c>
      <c r="P8" s="14" t="s">
        <v>15</v>
      </c>
      <c r="Q8" s="15" t="s">
        <v>7</v>
      </c>
      <c r="R8" s="15" t="s">
        <v>8</v>
      </c>
      <c r="S8" s="15" t="s">
        <v>9</v>
      </c>
      <c r="U8" s="4" t="s">
        <v>5</v>
      </c>
      <c r="V8" s="5" t="s">
        <v>6</v>
      </c>
      <c r="W8" s="6" t="s">
        <v>7</v>
      </c>
      <c r="X8" s="6" t="s">
        <v>8</v>
      </c>
      <c r="Y8" s="6" t="s">
        <v>9</v>
      </c>
      <c r="Z8" s="14" t="s">
        <v>15</v>
      </c>
      <c r="AA8" s="15" t="s">
        <v>7</v>
      </c>
      <c r="AB8" s="15" t="s">
        <v>8</v>
      </c>
      <c r="AC8" s="15" t="s">
        <v>9</v>
      </c>
      <c r="AE8" s="4" t="s">
        <v>5</v>
      </c>
      <c r="AF8" s="5" t="s">
        <v>6</v>
      </c>
      <c r="AG8" s="6" t="s">
        <v>7</v>
      </c>
      <c r="AH8" s="6" t="s">
        <v>8</v>
      </c>
      <c r="AI8" s="6" t="s">
        <v>9</v>
      </c>
      <c r="AJ8" s="14" t="s">
        <v>15</v>
      </c>
      <c r="AK8" s="15" t="s">
        <v>7</v>
      </c>
      <c r="AL8" s="15" t="s">
        <v>8</v>
      </c>
      <c r="AM8" s="15" t="s">
        <v>9</v>
      </c>
    </row>
    <row r="9" spans="1:39" ht="15.75" customHeight="1">
      <c r="A9" s="9" t="s">
        <v>16</v>
      </c>
      <c r="B9" s="13"/>
      <c r="C9" s="13"/>
      <c r="D9" s="13"/>
      <c r="E9" s="13"/>
      <c r="F9" s="16">
        <v>23</v>
      </c>
      <c r="G9" s="16">
        <v>46.74</v>
      </c>
      <c r="H9" s="16">
        <v>134</v>
      </c>
      <c r="I9" s="16">
        <v>3.09</v>
      </c>
      <c r="K9" s="9" t="s">
        <v>16</v>
      </c>
      <c r="L9" s="13"/>
      <c r="M9" s="13"/>
      <c r="N9" s="13"/>
      <c r="O9" s="13"/>
      <c r="P9" s="16">
        <v>19</v>
      </c>
      <c r="Q9" s="16">
        <v>55.05</v>
      </c>
      <c r="R9" s="16">
        <v>204.74</v>
      </c>
      <c r="S9" s="16">
        <v>3.89</v>
      </c>
      <c r="U9" s="9" t="s">
        <v>16</v>
      </c>
      <c r="V9" s="13"/>
      <c r="W9" s="13"/>
      <c r="X9" s="13"/>
      <c r="Y9" s="13"/>
      <c r="Z9" s="16">
        <v>23</v>
      </c>
      <c r="AA9" s="16">
        <v>57.39</v>
      </c>
      <c r="AB9" s="16">
        <v>133.74</v>
      </c>
      <c r="AC9" s="16">
        <v>3.08</v>
      </c>
      <c r="AE9" s="9" t="s">
        <v>16</v>
      </c>
      <c r="AF9" s="13"/>
      <c r="AG9" s="13"/>
      <c r="AH9" s="13"/>
      <c r="AI9" s="13"/>
      <c r="AJ9" s="16">
        <v>15</v>
      </c>
      <c r="AK9" s="16">
        <v>176</v>
      </c>
      <c r="AL9" s="16">
        <v>116</v>
      </c>
      <c r="AM9" s="16">
        <v>1.74</v>
      </c>
    </row>
    <row r="10" spans="1:39" ht="15.75" customHeight="1">
      <c r="A10" s="4" t="s">
        <v>17</v>
      </c>
      <c r="B10" s="13">
        <v>15</v>
      </c>
      <c r="C10" s="13">
        <v>149.66999999999999</v>
      </c>
      <c r="D10" s="13">
        <v>117</v>
      </c>
      <c r="E10" s="13">
        <v>1.75</v>
      </c>
      <c r="F10" s="16">
        <v>15</v>
      </c>
      <c r="G10" s="16">
        <v>73.27</v>
      </c>
      <c r="H10" s="16">
        <v>161</v>
      </c>
      <c r="I10" s="16">
        <v>2.42</v>
      </c>
      <c r="K10" s="4" t="s">
        <v>17</v>
      </c>
      <c r="L10" s="13">
        <v>10</v>
      </c>
      <c r="M10" s="13">
        <v>147.6</v>
      </c>
      <c r="N10" s="13">
        <v>163</v>
      </c>
      <c r="O10" s="13">
        <v>1.63</v>
      </c>
      <c r="P10" s="16">
        <v>12</v>
      </c>
      <c r="Q10" s="16">
        <v>67.33</v>
      </c>
      <c r="R10" s="16">
        <v>224.17</v>
      </c>
      <c r="S10" s="16">
        <v>2.69</v>
      </c>
      <c r="U10" s="4" t="s">
        <v>17</v>
      </c>
      <c r="V10" s="13">
        <v>10</v>
      </c>
      <c r="W10" s="13">
        <v>262.8</v>
      </c>
      <c r="X10" s="13">
        <v>499</v>
      </c>
      <c r="Y10" s="13">
        <v>4.99</v>
      </c>
      <c r="Z10" s="16">
        <v>10</v>
      </c>
      <c r="AA10" s="16">
        <v>69.8</v>
      </c>
      <c r="AB10" s="16">
        <v>187.9</v>
      </c>
      <c r="AC10" s="16">
        <v>1.879</v>
      </c>
      <c r="AE10" s="4" t="s">
        <v>17</v>
      </c>
      <c r="AF10" s="13">
        <v>9</v>
      </c>
      <c r="AG10" s="13">
        <v>343</v>
      </c>
      <c r="AH10" s="13">
        <v>636.6</v>
      </c>
      <c r="AI10" s="13">
        <v>5.73</v>
      </c>
      <c r="AJ10" s="16">
        <v>6</v>
      </c>
      <c r="AK10" s="16">
        <v>52.5</v>
      </c>
      <c r="AL10" s="16">
        <v>110</v>
      </c>
      <c r="AM10" s="16">
        <v>0.66</v>
      </c>
    </row>
    <row r="11" spans="1:39" ht="15.75" customHeight="1">
      <c r="A11" s="4" t="s">
        <v>18</v>
      </c>
      <c r="B11" s="13">
        <v>20</v>
      </c>
      <c r="C11" s="13">
        <v>142.15</v>
      </c>
      <c r="D11" s="13">
        <v>210</v>
      </c>
      <c r="E11" s="13">
        <v>4.2</v>
      </c>
      <c r="F11" s="16">
        <v>10</v>
      </c>
      <c r="G11" s="16">
        <v>52.7</v>
      </c>
      <c r="H11" s="16">
        <v>89</v>
      </c>
      <c r="I11" s="16">
        <v>0.89</v>
      </c>
      <c r="K11" s="4" t="s">
        <v>18</v>
      </c>
      <c r="L11" s="13">
        <v>20</v>
      </c>
      <c r="M11" s="13">
        <v>136.25</v>
      </c>
      <c r="N11" s="13">
        <v>174</v>
      </c>
      <c r="O11" s="13">
        <v>3.48</v>
      </c>
      <c r="P11" s="16">
        <v>10</v>
      </c>
      <c r="Q11" s="16">
        <v>88.5</v>
      </c>
      <c r="R11" s="16">
        <v>129</v>
      </c>
      <c r="S11" s="16">
        <v>1.29</v>
      </c>
      <c r="U11" s="4" t="s">
        <v>18</v>
      </c>
      <c r="V11" s="13">
        <v>20</v>
      </c>
      <c r="W11" s="13">
        <v>234.35</v>
      </c>
      <c r="X11" s="13">
        <v>402</v>
      </c>
      <c r="Y11" s="13">
        <v>8.0399999999999991</v>
      </c>
      <c r="Z11" s="16">
        <v>8</v>
      </c>
      <c r="AA11" s="16">
        <v>47</v>
      </c>
      <c r="AB11" s="16">
        <v>10</v>
      </c>
      <c r="AC11" s="16">
        <v>0.08</v>
      </c>
      <c r="AE11" s="4" t="s">
        <v>18</v>
      </c>
      <c r="AF11" s="10">
        <v>18</v>
      </c>
      <c r="AG11" s="10">
        <v>260.89999999999998</v>
      </c>
      <c r="AH11" s="10">
        <v>521.11</v>
      </c>
      <c r="AI11" s="10">
        <v>9.3800000000000008</v>
      </c>
      <c r="AJ11" s="16">
        <v>4</v>
      </c>
      <c r="AK11" s="16">
        <v>65</v>
      </c>
      <c r="AL11" s="16">
        <v>147.5</v>
      </c>
      <c r="AM11" s="16">
        <v>0.59</v>
      </c>
    </row>
    <row r="12" spans="1:39" ht="15.75" customHeight="1">
      <c r="A12" s="4" t="s">
        <v>14</v>
      </c>
      <c r="B12" s="13">
        <v>31</v>
      </c>
      <c r="C12" s="13">
        <v>175.9</v>
      </c>
      <c r="D12" s="13">
        <v>190.9</v>
      </c>
      <c r="E12" s="13">
        <v>5.92</v>
      </c>
      <c r="F12" s="16"/>
      <c r="G12" s="16"/>
      <c r="H12" s="16"/>
      <c r="I12" s="16"/>
      <c r="K12" s="4" t="s">
        <v>14</v>
      </c>
      <c r="L12" s="13">
        <v>30</v>
      </c>
      <c r="M12" s="13">
        <v>179.6</v>
      </c>
      <c r="N12" s="13">
        <v>165.33</v>
      </c>
      <c r="O12" s="13">
        <v>4.96</v>
      </c>
      <c r="P12" s="16"/>
      <c r="Q12" s="16"/>
      <c r="R12" s="16"/>
      <c r="S12" s="16"/>
      <c r="U12" s="4" t="s">
        <v>14</v>
      </c>
      <c r="V12" s="10">
        <v>30</v>
      </c>
      <c r="W12" s="10">
        <v>271.3</v>
      </c>
      <c r="X12" s="10">
        <v>347.33</v>
      </c>
      <c r="Y12" s="10">
        <v>10.42</v>
      </c>
      <c r="Z12" s="16"/>
      <c r="AA12" s="16"/>
      <c r="AB12" s="16"/>
      <c r="AC12" s="16"/>
      <c r="AE12" s="4" t="s">
        <v>14</v>
      </c>
      <c r="AF12" s="10">
        <v>28</v>
      </c>
      <c r="AG12" s="10">
        <v>343.16</v>
      </c>
      <c r="AH12" s="10">
        <v>311</v>
      </c>
      <c r="AI12" s="10">
        <v>8.7100000000000009</v>
      </c>
      <c r="AJ12" s="16"/>
      <c r="AK12" s="16"/>
      <c r="AL12" s="16"/>
      <c r="AM12" s="16"/>
    </row>
    <row r="13" spans="1:39" ht="15.75" customHeight="1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6" customHeight="1">
      <c r="A14" s="4" t="s">
        <v>5</v>
      </c>
      <c r="B14" s="7" t="s">
        <v>10</v>
      </c>
      <c r="C14" s="8" t="s">
        <v>7</v>
      </c>
      <c r="D14" s="8" t="s">
        <v>8</v>
      </c>
      <c r="E14" s="8" t="s">
        <v>9</v>
      </c>
      <c r="F14" s="14" t="s">
        <v>15</v>
      </c>
      <c r="G14" s="15" t="s">
        <v>7</v>
      </c>
      <c r="H14" s="15" t="s">
        <v>8</v>
      </c>
      <c r="I14" s="15" t="s">
        <v>9</v>
      </c>
      <c r="K14" s="4" t="s">
        <v>5</v>
      </c>
      <c r="L14" s="7" t="s">
        <v>10</v>
      </c>
      <c r="M14" s="8" t="s">
        <v>7</v>
      </c>
      <c r="N14" s="8" t="s">
        <v>8</v>
      </c>
      <c r="O14" s="8" t="s">
        <v>9</v>
      </c>
      <c r="P14" s="14" t="s">
        <v>15</v>
      </c>
      <c r="Q14" s="15" t="s">
        <v>7</v>
      </c>
      <c r="R14" s="15" t="s">
        <v>8</v>
      </c>
      <c r="S14" s="15" t="s">
        <v>9</v>
      </c>
      <c r="U14" s="4" t="s">
        <v>5</v>
      </c>
      <c r="V14" s="7" t="s">
        <v>10</v>
      </c>
      <c r="W14" s="8" t="s">
        <v>7</v>
      </c>
      <c r="X14" s="8" t="s">
        <v>8</v>
      </c>
      <c r="Y14" s="8" t="s">
        <v>9</v>
      </c>
      <c r="Z14" s="14" t="s">
        <v>15</v>
      </c>
      <c r="AA14" s="15" t="s">
        <v>7</v>
      </c>
      <c r="AB14" s="15" t="s">
        <v>8</v>
      </c>
      <c r="AC14" s="15" t="s">
        <v>9</v>
      </c>
      <c r="AE14" s="4" t="s">
        <v>5</v>
      </c>
      <c r="AF14" s="7" t="s">
        <v>10</v>
      </c>
      <c r="AG14" s="8" t="s">
        <v>7</v>
      </c>
      <c r="AH14" s="8" t="s">
        <v>8</v>
      </c>
      <c r="AI14" s="8" t="s">
        <v>9</v>
      </c>
      <c r="AJ14" s="14" t="s">
        <v>15</v>
      </c>
      <c r="AK14" s="15" t="s">
        <v>7</v>
      </c>
      <c r="AL14" s="15" t="s">
        <v>8</v>
      </c>
      <c r="AM14" s="15" t="s">
        <v>9</v>
      </c>
    </row>
    <row r="15" spans="1:39" ht="15.75" customHeight="1">
      <c r="A15" s="9" t="s">
        <v>19</v>
      </c>
      <c r="B15" s="12"/>
      <c r="C15" s="12"/>
      <c r="D15" s="12"/>
      <c r="E15" s="12"/>
      <c r="F15" s="16">
        <v>23</v>
      </c>
      <c r="G15" s="16">
        <v>46.74</v>
      </c>
      <c r="H15" s="16">
        <v>134</v>
      </c>
      <c r="I15" s="16">
        <v>3.09</v>
      </c>
      <c r="K15" s="9" t="s">
        <v>19</v>
      </c>
      <c r="L15" s="12"/>
      <c r="M15" s="12"/>
      <c r="N15" s="12"/>
      <c r="O15" s="12"/>
      <c r="P15" s="16">
        <v>19</v>
      </c>
      <c r="Q15" s="16">
        <v>55.05</v>
      </c>
      <c r="R15" s="16">
        <v>204.74</v>
      </c>
      <c r="S15" s="16">
        <v>3.89</v>
      </c>
      <c r="U15" s="9" t="s">
        <v>19</v>
      </c>
      <c r="V15" s="12"/>
      <c r="W15" s="12"/>
      <c r="X15" s="12"/>
      <c r="Y15" s="12"/>
      <c r="Z15" s="16">
        <v>23</v>
      </c>
      <c r="AA15" s="16">
        <v>57.39</v>
      </c>
      <c r="AB15" s="16">
        <v>133.74</v>
      </c>
      <c r="AC15" s="16">
        <v>3.08</v>
      </c>
      <c r="AE15" s="9" t="s">
        <v>19</v>
      </c>
      <c r="AF15" s="12"/>
      <c r="AG15" s="12"/>
      <c r="AH15" s="12"/>
      <c r="AI15" s="12"/>
      <c r="AJ15" s="16">
        <v>15</v>
      </c>
      <c r="AK15" s="16">
        <v>176</v>
      </c>
      <c r="AL15" s="16">
        <v>116</v>
      </c>
      <c r="AM15" s="16">
        <v>1.74</v>
      </c>
    </row>
    <row r="16" spans="1:39" ht="15.75" customHeight="1">
      <c r="A16" s="4" t="s">
        <v>20</v>
      </c>
      <c r="B16" s="12">
        <v>8</v>
      </c>
      <c r="C16" s="12">
        <v>28.625</v>
      </c>
      <c r="D16" s="12">
        <v>37.5</v>
      </c>
      <c r="E16" s="12">
        <v>0.3</v>
      </c>
      <c r="F16" s="16">
        <v>13</v>
      </c>
      <c r="G16" s="16">
        <v>67.69</v>
      </c>
      <c r="H16" s="16">
        <v>175.3</v>
      </c>
      <c r="I16" s="16">
        <v>2.2799999999999998</v>
      </c>
      <c r="K16" s="4" t="s">
        <v>20</v>
      </c>
      <c r="L16" s="12">
        <v>10</v>
      </c>
      <c r="M16" s="12">
        <v>34.6</v>
      </c>
      <c r="N16" s="12">
        <v>36</v>
      </c>
      <c r="O16" s="12">
        <v>0.36</v>
      </c>
      <c r="P16" s="16">
        <v>14</v>
      </c>
      <c r="Q16" s="16">
        <v>83.14</v>
      </c>
      <c r="R16" s="16">
        <v>214.39</v>
      </c>
      <c r="S16" s="16">
        <v>3</v>
      </c>
      <c r="U16" s="4" t="s">
        <v>20</v>
      </c>
      <c r="V16" s="12">
        <v>7</v>
      </c>
      <c r="W16" s="12">
        <v>33.57</v>
      </c>
      <c r="X16" s="12">
        <v>81.430000000000007</v>
      </c>
      <c r="Y16" s="12">
        <v>0.56999999999999995</v>
      </c>
      <c r="Z16" s="16">
        <v>13</v>
      </c>
      <c r="AA16" s="16">
        <v>49.61</v>
      </c>
      <c r="AB16" s="16">
        <v>153.84</v>
      </c>
      <c r="AC16" s="16">
        <v>2</v>
      </c>
      <c r="AE16" s="4" t="s">
        <v>20</v>
      </c>
      <c r="AF16" s="12">
        <v>4</v>
      </c>
      <c r="AG16" s="12">
        <v>36.799999999999997</v>
      </c>
      <c r="AH16" s="12">
        <v>60</v>
      </c>
      <c r="AI16" s="12">
        <v>0.24</v>
      </c>
      <c r="AJ16" s="16">
        <v>12</v>
      </c>
      <c r="AK16" s="16">
        <v>364</v>
      </c>
      <c r="AL16" s="16">
        <v>139.1</v>
      </c>
      <c r="AM16" s="16">
        <v>1.67</v>
      </c>
    </row>
    <row r="17" spans="1:39" ht="15.75" customHeight="1">
      <c r="A17" s="4" t="s">
        <v>21</v>
      </c>
      <c r="B17" s="12">
        <v>12</v>
      </c>
      <c r="C17" s="12">
        <v>43.3</v>
      </c>
      <c r="D17" s="12">
        <v>45</v>
      </c>
      <c r="E17" s="12">
        <v>0.54</v>
      </c>
      <c r="F17" s="16">
        <v>4</v>
      </c>
      <c r="G17" s="16">
        <v>50</v>
      </c>
      <c r="H17" s="16">
        <v>110</v>
      </c>
      <c r="I17" s="16">
        <v>0.44</v>
      </c>
      <c r="K17" s="4" t="s">
        <v>21</v>
      </c>
      <c r="L17" s="12">
        <v>12</v>
      </c>
      <c r="M17" s="12">
        <v>44.75</v>
      </c>
      <c r="N17" s="12">
        <v>45.78</v>
      </c>
      <c r="O17" s="12">
        <v>0.54</v>
      </c>
      <c r="P17" s="16">
        <v>6</v>
      </c>
      <c r="Q17" s="16">
        <v>100.33</v>
      </c>
      <c r="R17" s="16">
        <v>250.77</v>
      </c>
      <c r="S17" s="16">
        <v>1.5</v>
      </c>
      <c r="U17" s="4" t="s">
        <v>21</v>
      </c>
      <c r="V17" s="12">
        <v>17</v>
      </c>
      <c r="W17" s="12">
        <v>60.35</v>
      </c>
      <c r="X17" s="12">
        <v>83.52</v>
      </c>
      <c r="Y17" s="12">
        <v>1.42</v>
      </c>
      <c r="Z17" s="16">
        <v>5</v>
      </c>
      <c r="AA17" s="16">
        <v>79</v>
      </c>
      <c r="AB17" s="16">
        <v>308</v>
      </c>
      <c r="AC17" s="16">
        <v>1.54</v>
      </c>
      <c r="AE17" s="4" t="s">
        <v>21</v>
      </c>
      <c r="AF17" s="12">
        <v>20</v>
      </c>
      <c r="AG17" s="12">
        <v>98</v>
      </c>
      <c r="AH17" s="12">
        <v>101</v>
      </c>
      <c r="AI17" s="12">
        <v>2.02</v>
      </c>
      <c r="AJ17" s="16">
        <v>10</v>
      </c>
      <c r="AK17" s="16">
        <v>68.099999999999994</v>
      </c>
      <c r="AL17" s="16">
        <v>160</v>
      </c>
      <c r="AM17" s="16">
        <v>1.6</v>
      </c>
    </row>
    <row r="18" spans="1:39" ht="15.75" customHeight="1">
      <c r="A18" s="4" t="s">
        <v>22</v>
      </c>
      <c r="B18" s="12">
        <v>22</v>
      </c>
      <c r="C18" s="12">
        <v>38.136000000000003</v>
      </c>
      <c r="D18" s="12">
        <v>55.908999999999999</v>
      </c>
      <c r="E18" s="12">
        <v>1.23</v>
      </c>
      <c r="F18" s="16"/>
      <c r="G18" s="16"/>
      <c r="H18" s="16"/>
      <c r="I18" s="16"/>
      <c r="K18" s="4" t="s">
        <v>22</v>
      </c>
      <c r="L18" s="12">
        <v>27</v>
      </c>
      <c r="M18" s="12">
        <v>41.04</v>
      </c>
      <c r="N18" s="12">
        <v>58.15</v>
      </c>
      <c r="O18" s="12">
        <v>1.57</v>
      </c>
      <c r="P18" s="16"/>
      <c r="Q18" s="16"/>
      <c r="R18" s="16"/>
      <c r="S18" s="16"/>
      <c r="U18" s="4" t="s">
        <v>22</v>
      </c>
      <c r="V18" s="12">
        <v>25</v>
      </c>
      <c r="W18" s="12">
        <v>52.28</v>
      </c>
      <c r="X18" s="12">
        <v>98.4</v>
      </c>
      <c r="Y18" s="12">
        <v>2.46</v>
      </c>
      <c r="Z18" s="16"/>
      <c r="AA18" s="16"/>
      <c r="AB18" s="16"/>
      <c r="AC18" s="16"/>
      <c r="AE18" s="4" t="s">
        <v>22</v>
      </c>
      <c r="AF18" s="11">
        <v>28</v>
      </c>
      <c r="AG18" s="11">
        <v>99.8</v>
      </c>
      <c r="AH18" s="11">
        <v>111.1</v>
      </c>
      <c r="AI18" s="11">
        <v>3.11</v>
      </c>
      <c r="AJ18" s="16"/>
      <c r="AK18" s="16"/>
      <c r="AL18" s="16"/>
      <c r="AM18" s="16"/>
    </row>
    <row r="19" spans="1:39" ht="15.75" customHeight="1"/>
    <row r="20" spans="1:39" ht="15.75" customHeight="1">
      <c r="A20" s="17" t="s">
        <v>23</v>
      </c>
    </row>
    <row r="21" spans="1:39" ht="15.75" customHeight="1"/>
    <row r="22" spans="1:39" ht="15.75" customHeight="1">
      <c r="A22" s="18"/>
      <c r="B22" s="130"/>
      <c r="C22" s="131"/>
      <c r="D22" s="131"/>
      <c r="E22" s="131"/>
      <c r="F22" s="131"/>
      <c r="G22" s="131"/>
      <c r="H22" s="131"/>
      <c r="I22" s="131"/>
      <c r="J22" s="130"/>
      <c r="K22" s="131"/>
      <c r="L22" s="131"/>
      <c r="M22" s="131"/>
      <c r="N22" s="131"/>
      <c r="O22" s="131"/>
      <c r="P22" s="130"/>
      <c r="Q22" s="131"/>
      <c r="R22" s="131"/>
      <c r="S22" s="131"/>
      <c r="T22" s="131"/>
      <c r="U22" s="131"/>
    </row>
    <row r="23" spans="1:39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39" ht="15.75" customHeight="1">
      <c r="A24" s="3"/>
      <c r="B24" s="18"/>
      <c r="C24" s="18"/>
      <c r="D24" s="18"/>
      <c r="E24" s="18"/>
      <c r="F24" s="20"/>
      <c r="G24" s="20"/>
      <c r="H24" s="20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9" ht="15.75" customHeight="1">
      <c r="A25" s="3"/>
      <c r="B25" s="21"/>
      <c r="C25" s="21"/>
      <c r="D25" s="21"/>
      <c r="E25" s="20"/>
      <c r="F25" s="20"/>
      <c r="G25" s="20"/>
      <c r="H25" s="20"/>
      <c r="I25" s="20"/>
      <c r="J25" s="18"/>
      <c r="K25" s="18"/>
      <c r="L25" s="18"/>
      <c r="M25" s="18"/>
      <c r="N25" s="18"/>
      <c r="O25" s="18"/>
      <c r="P25" s="21"/>
      <c r="Q25" s="21"/>
      <c r="R25" s="21"/>
      <c r="S25" s="18"/>
      <c r="T25" s="18"/>
      <c r="U25" s="18"/>
    </row>
    <row r="26" spans="1:39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</row>
    <row r="27" spans="1:39" ht="15.75" customHeight="1">
      <c r="A27" s="3"/>
      <c r="B27" s="21"/>
      <c r="C27" s="21"/>
      <c r="D27" s="21"/>
      <c r="E27" s="18"/>
      <c r="F27" s="21"/>
      <c r="G27" s="21"/>
      <c r="H27" s="21"/>
      <c r="I27" s="18"/>
      <c r="J27" s="18"/>
      <c r="K27" s="18"/>
      <c r="L27" s="18"/>
      <c r="M27" s="18"/>
      <c r="N27" s="18"/>
      <c r="O27" s="18"/>
      <c r="P27" s="21"/>
      <c r="Q27" s="21"/>
      <c r="R27" s="21"/>
      <c r="S27" s="21"/>
      <c r="T27" s="21"/>
      <c r="U27" s="18"/>
    </row>
    <row r="28" spans="1:39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39" ht="15.75" customHeight="1">
      <c r="A29" s="3"/>
      <c r="B29" s="21"/>
      <c r="C29" s="21"/>
      <c r="D29" s="21"/>
      <c r="E29" s="18"/>
      <c r="F29" s="21"/>
      <c r="G29" s="21"/>
      <c r="H29" s="21"/>
      <c r="I29" s="18"/>
      <c r="J29" s="21"/>
      <c r="K29" s="18"/>
      <c r="L29" s="18"/>
      <c r="M29" s="18"/>
      <c r="N29" s="18"/>
      <c r="O29" s="21"/>
      <c r="P29" s="21"/>
      <c r="Q29" s="21"/>
      <c r="R29" s="21"/>
      <c r="S29" s="18"/>
      <c r="T29" s="21"/>
      <c r="U29" s="18"/>
    </row>
    <row r="30" spans="1:39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39" ht="15.75" customHeight="1">
      <c r="A31" s="3"/>
      <c r="B31" s="21"/>
      <c r="C31" s="21"/>
      <c r="D31" s="21"/>
      <c r="E31" s="18"/>
      <c r="F31" s="21"/>
      <c r="G31" s="21"/>
      <c r="H31" s="21"/>
      <c r="I31" s="18"/>
      <c r="J31" s="18"/>
      <c r="K31" s="18"/>
      <c r="L31" s="18"/>
      <c r="M31" s="18"/>
      <c r="N31" s="18"/>
      <c r="O31" s="18"/>
      <c r="P31" s="21"/>
      <c r="Q31" s="21"/>
      <c r="R31" s="21"/>
      <c r="S31" s="18"/>
      <c r="T31" s="22"/>
      <c r="U31" s="18"/>
    </row>
    <row r="32" spans="1:39" ht="15.75" customHeight="1">
      <c r="A32" s="3"/>
      <c r="B32" s="20"/>
      <c r="C32" s="20"/>
      <c r="D32" s="20"/>
      <c r="E32" s="2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ht="15.75" customHeight="1">
      <c r="A33" s="3"/>
      <c r="B33" s="21"/>
      <c r="C33" s="21"/>
      <c r="D33" s="21"/>
      <c r="E33" s="20"/>
      <c r="F33" s="21"/>
      <c r="G33" s="21"/>
      <c r="H33" s="21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21"/>
      <c r="U33" s="18"/>
    </row>
    <row r="34" spans="1:21" ht="15.75" customHeight="1"/>
    <row r="35" spans="1:21" ht="15.75" customHeight="1"/>
    <row r="36" spans="1:21" ht="15.75" customHeight="1"/>
    <row r="37" spans="1:21" ht="15.75" customHeight="1"/>
    <row r="38" spans="1:21" ht="15.75" customHeight="1"/>
    <row r="39" spans="1:21" ht="15.75" customHeight="1"/>
    <row r="40" spans="1:21" ht="15.75" customHeight="1"/>
    <row r="41" spans="1:21" ht="15.75" customHeight="1"/>
    <row r="42" spans="1:21" ht="15.75" customHeight="1"/>
    <row r="43" spans="1:21" ht="15.75" customHeight="1"/>
    <row r="44" spans="1:21" ht="15.75" customHeight="1"/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I22"/>
    <mergeCell ref="J22:O22"/>
    <mergeCell ref="P22:U2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4D64-654B-FC45-9ED5-8210DB3D5D92}">
  <sheetPr>
    <pageSetUpPr fitToPage="1"/>
  </sheetPr>
  <dimension ref="A1:BI66"/>
  <sheetViews>
    <sheetView tabSelected="1" workbookViewId="0">
      <selection activeCell="BI65" sqref="BI65"/>
    </sheetView>
  </sheetViews>
  <sheetFormatPr baseColWidth="10" defaultRowHeight="13"/>
  <cols>
    <col min="1" max="1" width="12.5" style="34" bestFit="1" customWidth="1"/>
    <col min="2" max="2" width="8" style="35" bestFit="1" customWidth="1"/>
    <col min="3" max="3" width="5.6640625" style="36" bestFit="1" customWidth="1"/>
    <col min="4" max="4" width="6.1640625" style="36" bestFit="1" customWidth="1"/>
    <col min="5" max="5" width="5.6640625" style="51" bestFit="1" customWidth="1"/>
    <col min="6" max="6" width="8" style="36" bestFit="1" customWidth="1"/>
    <col min="7" max="7" width="5.6640625" style="36" bestFit="1" customWidth="1"/>
    <col min="8" max="8" width="6.1640625" style="36" bestFit="1" customWidth="1"/>
    <col min="9" max="9" width="5.6640625" style="51" bestFit="1" customWidth="1"/>
    <col min="10" max="10" width="8.1640625" style="36" bestFit="1" customWidth="1"/>
    <col min="11" max="11" width="5.6640625" style="36" bestFit="1" customWidth="1"/>
    <col min="12" max="12" width="6.1640625" style="36" bestFit="1" customWidth="1"/>
    <col min="13" max="13" width="5.6640625" style="51" bestFit="1" customWidth="1"/>
    <col min="14" max="14" width="8.1640625" style="36" bestFit="1" customWidth="1"/>
    <col min="15" max="15" width="5.6640625" style="36" bestFit="1" customWidth="1"/>
    <col min="16" max="16" width="6.1640625" style="36" bestFit="1" customWidth="1"/>
    <col min="17" max="17" width="5.6640625" style="51" bestFit="1" customWidth="1"/>
    <col min="18" max="19" width="5.6640625" style="36" bestFit="1" customWidth="1"/>
    <col min="20" max="20" width="6.1640625" style="36" bestFit="1" customWidth="1"/>
    <col min="21" max="21" width="5.6640625" style="49" bestFit="1" customWidth="1"/>
    <col min="22" max="22" width="8" style="39" bestFit="1" customWidth="1"/>
    <col min="23" max="23" width="5.6640625" style="38" bestFit="1" customWidth="1"/>
    <col min="24" max="24" width="6.1640625" style="38" bestFit="1" customWidth="1"/>
    <col min="25" max="25" width="5.6640625" style="48" bestFit="1" customWidth="1"/>
    <col min="26" max="26" width="8" style="38" bestFit="1" customWidth="1"/>
    <col min="27" max="27" width="5.6640625" style="38" bestFit="1" customWidth="1"/>
    <col min="28" max="28" width="6.1640625" style="38" bestFit="1" customWidth="1"/>
    <col min="29" max="29" width="5.6640625" style="48" bestFit="1" customWidth="1"/>
    <col min="30" max="30" width="7.83203125" style="38" bestFit="1" customWidth="1"/>
    <col min="31" max="31" width="5.6640625" style="38" bestFit="1" customWidth="1"/>
    <col min="32" max="32" width="6.1640625" style="38" bestFit="1" customWidth="1"/>
    <col min="33" max="33" width="5.6640625" style="48" bestFit="1" customWidth="1"/>
    <col min="34" max="34" width="7.83203125" style="38" bestFit="1" customWidth="1"/>
    <col min="35" max="35" width="5.6640625" style="38" bestFit="1" customWidth="1"/>
    <col min="36" max="36" width="6.1640625" style="38" bestFit="1" customWidth="1"/>
    <col min="37" max="37" width="5.6640625" style="48" bestFit="1" customWidth="1"/>
    <col min="38" max="39" width="5.6640625" style="38" bestFit="1" customWidth="1"/>
    <col min="40" max="40" width="6.1640625" style="38" bestFit="1" customWidth="1"/>
    <col min="41" max="41" width="5.6640625" style="46" bestFit="1" customWidth="1"/>
    <col min="42" max="42" width="8.1640625" style="42" bestFit="1" customWidth="1"/>
    <col min="43" max="43" width="5.6640625" style="41" bestFit="1" customWidth="1"/>
    <col min="44" max="44" width="6.1640625" style="41" bestFit="1" customWidth="1"/>
    <col min="45" max="45" width="5.6640625" style="45" bestFit="1" customWidth="1"/>
    <col min="46" max="46" width="8.1640625" style="41" bestFit="1" customWidth="1"/>
    <col min="47" max="47" width="5.6640625" style="41" bestFit="1" customWidth="1"/>
    <col min="48" max="48" width="6.1640625" style="41" bestFit="1" customWidth="1"/>
    <col min="49" max="49" width="5.6640625" style="45" bestFit="1" customWidth="1"/>
    <col min="50" max="50" width="7.83203125" style="41" bestFit="1" customWidth="1"/>
    <col min="51" max="51" width="5.6640625" style="41" bestFit="1" customWidth="1"/>
    <col min="52" max="52" width="6.1640625" style="41" bestFit="1" customWidth="1"/>
    <col min="53" max="53" width="5.6640625" style="45" bestFit="1" customWidth="1"/>
    <col min="54" max="54" width="7.83203125" style="41" bestFit="1" customWidth="1"/>
    <col min="55" max="55" width="5.6640625" style="41" bestFit="1" customWidth="1"/>
    <col min="56" max="56" width="6.1640625" style="41" bestFit="1" customWidth="1"/>
    <col min="57" max="57" width="5.6640625" style="45" bestFit="1" customWidth="1"/>
    <col min="58" max="59" width="5.6640625" style="41" bestFit="1" customWidth="1"/>
    <col min="60" max="60" width="6.1640625" style="41" bestFit="1" customWidth="1"/>
    <col min="61" max="61" width="5.6640625" style="44" bestFit="1" customWidth="1"/>
  </cols>
  <sheetData>
    <row r="1" spans="1:61" s="34" customFormat="1">
      <c r="A1" s="34" t="s">
        <v>25</v>
      </c>
      <c r="B1" s="54" t="s">
        <v>27</v>
      </c>
      <c r="C1" s="55"/>
      <c r="D1" s="55"/>
      <c r="E1" s="56"/>
      <c r="F1" s="55" t="s">
        <v>28</v>
      </c>
      <c r="G1" s="55"/>
      <c r="H1" s="55"/>
      <c r="I1" s="56"/>
      <c r="J1" s="55" t="s">
        <v>26</v>
      </c>
      <c r="K1" s="55"/>
      <c r="L1" s="55"/>
      <c r="M1" s="56"/>
      <c r="N1" s="55" t="s">
        <v>33</v>
      </c>
      <c r="O1" s="55"/>
      <c r="P1" s="55"/>
      <c r="Q1" s="56"/>
      <c r="R1" s="55" t="s">
        <v>34</v>
      </c>
      <c r="S1" s="55"/>
      <c r="T1" s="55"/>
      <c r="U1" s="57"/>
      <c r="V1" s="58" t="s">
        <v>35</v>
      </c>
      <c r="W1" s="59"/>
      <c r="X1" s="59"/>
      <c r="Y1" s="60"/>
      <c r="Z1" s="59" t="s">
        <v>36</v>
      </c>
      <c r="AA1" s="59"/>
      <c r="AB1" s="59"/>
      <c r="AC1" s="60"/>
      <c r="AD1" s="59" t="s">
        <v>37</v>
      </c>
      <c r="AE1" s="59"/>
      <c r="AF1" s="59"/>
      <c r="AG1" s="60"/>
      <c r="AH1" s="59" t="s">
        <v>38</v>
      </c>
      <c r="AI1" s="59"/>
      <c r="AJ1" s="59"/>
      <c r="AK1" s="60"/>
      <c r="AL1" s="59" t="s">
        <v>39</v>
      </c>
      <c r="AM1" s="59"/>
      <c r="AN1" s="59"/>
      <c r="AO1" s="61"/>
      <c r="AP1" s="62" t="s">
        <v>42</v>
      </c>
      <c r="AQ1" s="63"/>
      <c r="AR1" s="63"/>
      <c r="AS1" s="64"/>
      <c r="AT1" s="63" t="s">
        <v>43</v>
      </c>
      <c r="AU1" s="63"/>
      <c r="AV1" s="63"/>
      <c r="AW1" s="64"/>
      <c r="AX1" s="63" t="s">
        <v>40</v>
      </c>
      <c r="AY1" s="63"/>
      <c r="AZ1" s="63"/>
      <c r="BA1" s="64"/>
      <c r="BB1" s="63" t="s">
        <v>41</v>
      </c>
      <c r="BC1" s="63"/>
      <c r="BD1" s="63"/>
      <c r="BE1" s="64"/>
      <c r="BF1" s="63" t="s">
        <v>44</v>
      </c>
      <c r="BG1" s="63"/>
      <c r="BH1" s="63"/>
      <c r="BI1" s="65"/>
    </row>
    <row r="2" spans="1:61" s="94" customFormat="1" ht="14" thickBot="1">
      <c r="A2" s="94" t="s">
        <v>94</v>
      </c>
      <c r="B2" s="95" t="s">
        <v>29</v>
      </c>
      <c r="C2" s="96" t="s">
        <v>30</v>
      </c>
      <c r="D2" s="96" t="s">
        <v>31</v>
      </c>
      <c r="E2" s="97" t="s">
        <v>32</v>
      </c>
      <c r="F2" s="96" t="s">
        <v>29</v>
      </c>
      <c r="G2" s="96" t="s">
        <v>30</v>
      </c>
      <c r="H2" s="96" t="s">
        <v>31</v>
      </c>
      <c r="I2" s="97" t="s">
        <v>32</v>
      </c>
      <c r="J2" s="96" t="s">
        <v>29</v>
      </c>
      <c r="K2" s="96" t="s">
        <v>30</v>
      </c>
      <c r="L2" s="96" t="s">
        <v>31</v>
      </c>
      <c r="M2" s="97" t="s">
        <v>32</v>
      </c>
      <c r="N2" s="96" t="s">
        <v>29</v>
      </c>
      <c r="O2" s="96" t="s">
        <v>30</v>
      </c>
      <c r="P2" s="96" t="s">
        <v>31</v>
      </c>
      <c r="Q2" s="97" t="s">
        <v>32</v>
      </c>
      <c r="R2" s="96" t="s">
        <v>29</v>
      </c>
      <c r="S2" s="96" t="s">
        <v>30</v>
      </c>
      <c r="T2" s="96" t="s">
        <v>31</v>
      </c>
      <c r="U2" s="98" t="s">
        <v>32</v>
      </c>
      <c r="V2" s="99" t="s">
        <v>29</v>
      </c>
      <c r="W2" s="100" t="s">
        <v>30</v>
      </c>
      <c r="X2" s="100" t="s">
        <v>31</v>
      </c>
      <c r="Y2" s="101" t="s">
        <v>32</v>
      </c>
      <c r="Z2" s="100" t="s">
        <v>29</v>
      </c>
      <c r="AA2" s="100" t="s">
        <v>30</v>
      </c>
      <c r="AB2" s="100" t="s">
        <v>31</v>
      </c>
      <c r="AC2" s="101" t="s">
        <v>32</v>
      </c>
      <c r="AD2" s="100" t="s">
        <v>29</v>
      </c>
      <c r="AE2" s="100" t="s">
        <v>30</v>
      </c>
      <c r="AF2" s="100" t="s">
        <v>31</v>
      </c>
      <c r="AG2" s="101" t="s">
        <v>32</v>
      </c>
      <c r="AH2" s="100" t="s">
        <v>29</v>
      </c>
      <c r="AI2" s="100" t="s">
        <v>30</v>
      </c>
      <c r="AJ2" s="100" t="s">
        <v>31</v>
      </c>
      <c r="AK2" s="101" t="s">
        <v>32</v>
      </c>
      <c r="AL2" s="100" t="s">
        <v>29</v>
      </c>
      <c r="AM2" s="100" t="s">
        <v>30</v>
      </c>
      <c r="AN2" s="100" t="s">
        <v>31</v>
      </c>
      <c r="AO2" s="102" t="s">
        <v>32</v>
      </c>
      <c r="AP2" s="103" t="s">
        <v>29</v>
      </c>
      <c r="AQ2" s="104" t="s">
        <v>30</v>
      </c>
      <c r="AR2" s="104" t="s">
        <v>31</v>
      </c>
      <c r="AS2" s="105" t="s">
        <v>32</v>
      </c>
      <c r="AT2" s="104" t="s">
        <v>29</v>
      </c>
      <c r="AU2" s="104" t="s">
        <v>30</v>
      </c>
      <c r="AV2" s="104" t="s">
        <v>31</v>
      </c>
      <c r="AW2" s="105" t="s">
        <v>32</v>
      </c>
      <c r="AX2" s="104" t="s">
        <v>29</v>
      </c>
      <c r="AY2" s="104" t="s">
        <v>30</v>
      </c>
      <c r="AZ2" s="104" t="s">
        <v>31</v>
      </c>
      <c r="BA2" s="105" t="s">
        <v>32</v>
      </c>
      <c r="BB2" s="104" t="s">
        <v>29</v>
      </c>
      <c r="BC2" s="104" t="s">
        <v>30</v>
      </c>
      <c r="BD2" s="104" t="s">
        <v>31</v>
      </c>
      <c r="BE2" s="105" t="s">
        <v>32</v>
      </c>
      <c r="BF2" s="104" t="s">
        <v>29</v>
      </c>
      <c r="BG2" s="104" t="s">
        <v>30</v>
      </c>
      <c r="BH2" s="104" t="s">
        <v>31</v>
      </c>
      <c r="BI2" s="106" t="s">
        <v>32</v>
      </c>
    </row>
    <row r="3" spans="1:61">
      <c r="A3" s="52" t="s">
        <v>45</v>
      </c>
      <c r="B3" s="35">
        <f>'M2-5'!B$4</f>
        <v>10</v>
      </c>
      <c r="C3" s="36">
        <f>'M2-5'!C$4</f>
        <v>182.3</v>
      </c>
      <c r="D3" s="36">
        <f>'M2-5'!D$4</f>
        <v>180</v>
      </c>
      <c r="E3" s="51">
        <f>'M2-5'!E$4</f>
        <v>1.8</v>
      </c>
      <c r="F3" s="37">
        <f>'M2-5'!B$5</f>
        <v>20</v>
      </c>
      <c r="G3" s="36">
        <f>'M2-5'!C$5</f>
        <v>156.6</v>
      </c>
      <c r="H3" s="36">
        <f>'M2-5'!D$5</f>
        <v>172.5</v>
      </c>
      <c r="I3" s="51">
        <f>'M2-5'!E$5</f>
        <v>3.45</v>
      </c>
      <c r="J3" s="37">
        <f>'M2-5'!B$10</f>
        <v>10</v>
      </c>
      <c r="K3" s="36">
        <f>'M2-5'!C$10</f>
        <v>178.1</v>
      </c>
      <c r="L3" s="36">
        <f>'M2-5'!D$10</f>
        <v>176</v>
      </c>
      <c r="M3" s="51">
        <f>'M2-5'!E$10</f>
        <v>1.76</v>
      </c>
      <c r="N3" s="37">
        <f>'M2-5'!B$11</f>
        <v>20</v>
      </c>
      <c r="O3" s="36">
        <f>'M2-5'!C$11</f>
        <v>171.7</v>
      </c>
      <c r="P3" s="36">
        <f>'M2-5'!D$11</f>
        <v>169.5</v>
      </c>
      <c r="Q3" s="51">
        <f>'M2-5'!E$11</f>
        <v>3.39</v>
      </c>
      <c r="R3" s="91">
        <f>'M2-5'!B$12</f>
        <v>40</v>
      </c>
      <c r="S3" s="36">
        <f>'M2-5'!C$12</f>
        <v>166.88</v>
      </c>
      <c r="T3" s="36">
        <f>'M2-5'!D$12</f>
        <v>195.25</v>
      </c>
      <c r="U3" s="50">
        <f>'M2-5'!E$12</f>
        <v>7.81</v>
      </c>
      <c r="V3" s="39">
        <f>'M2-5'!F$5</f>
        <v>10</v>
      </c>
      <c r="W3" s="38">
        <f>'M2-5'!G$5</f>
        <v>45.2</v>
      </c>
      <c r="X3" s="38">
        <f>'M2-5'!H$5</f>
        <v>46</v>
      </c>
      <c r="Y3" s="48">
        <f>'M2-5'!I$5</f>
        <v>0.46</v>
      </c>
      <c r="Z3" s="40">
        <f>'M2-5'!F$4</f>
        <v>12</v>
      </c>
      <c r="AA3" s="108">
        <f>'M2-5'!G$4</f>
        <v>41.16</v>
      </c>
      <c r="AB3" s="108">
        <f>'M2-5'!H$4</f>
        <v>90.83</v>
      </c>
      <c r="AC3" s="109">
        <f>'M2-5'!I$4</f>
        <v>1.0900000000000001</v>
      </c>
      <c r="AD3" s="90">
        <f>'M2-5'!B$16</f>
        <v>14</v>
      </c>
      <c r="AE3" s="38">
        <f>'M2-5'!C$16</f>
        <v>29.5</v>
      </c>
      <c r="AF3" s="38">
        <f>'M2-5'!D$16</f>
        <v>34.28</v>
      </c>
      <c r="AG3" s="48">
        <f>'M2-5'!E$16</f>
        <v>0.48</v>
      </c>
      <c r="AH3" s="90">
        <f>'M2-5'!B$17</f>
        <v>40</v>
      </c>
      <c r="AI3" s="38">
        <f>'M2-5'!C$17</f>
        <v>39.950000000000003</v>
      </c>
      <c r="AJ3" s="38">
        <f>'M2-5'!D$17</f>
        <v>56.5</v>
      </c>
      <c r="AK3" s="48">
        <f>'M2-5'!E$17</f>
        <v>2.2599999999999998</v>
      </c>
      <c r="AL3" s="38">
        <f>'M2-5'!B$18</f>
        <v>30</v>
      </c>
      <c r="AM3" s="38">
        <f>'M2-5'!C$18</f>
        <v>39.43</v>
      </c>
      <c r="AN3" s="38">
        <f>'M2-5'!D$18</f>
        <v>43.66</v>
      </c>
      <c r="AO3" s="47">
        <f>'M2-5'!E$18</f>
        <v>1.31</v>
      </c>
      <c r="AP3" s="93">
        <f>'M2-5'!F$11</f>
        <v>16</v>
      </c>
      <c r="AQ3" s="41">
        <f>'M2-5'!G$11</f>
        <v>42.125</v>
      </c>
      <c r="AR3" s="41">
        <f>'M2-5'!H$11</f>
        <v>71.25</v>
      </c>
      <c r="AS3" s="45">
        <f>'M2-5'!I$11</f>
        <v>1.1399999999999999</v>
      </c>
      <c r="AT3" s="90">
        <f>'M2-5'!F$10</f>
        <v>35</v>
      </c>
      <c r="AU3" s="41">
        <f>'M2-5'!G$10</f>
        <v>53.09</v>
      </c>
      <c r="AV3" s="91">
        <f>'M2-5'!H$10</f>
        <v>176</v>
      </c>
      <c r="AW3" s="92">
        <f>'M2-5'!I$10</f>
        <v>4.6100000000000003</v>
      </c>
      <c r="AX3" s="43">
        <f>'M2-5'!F$17</f>
        <v>10</v>
      </c>
      <c r="AY3" s="41">
        <f>'M2-5'!G$17</f>
        <v>58.8</v>
      </c>
      <c r="AZ3" s="41">
        <f>'M2-5'!H$17</f>
        <v>121</v>
      </c>
      <c r="BA3" s="45">
        <f>'M2-5'!I$17</f>
        <v>1.21</v>
      </c>
      <c r="BB3" s="43">
        <f>'M2-5'!F$16</f>
        <v>12</v>
      </c>
      <c r="BC3" s="41">
        <f>'M2-5'!G$16</f>
        <v>59.17</v>
      </c>
      <c r="BD3" s="41">
        <f>'M2-5'!H$16</f>
        <v>171.67</v>
      </c>
      <c r="BE3" s="45">
        <f>'M2-5'!I$16</f>
        <v>2.06</v>
      </c>
      <c r="BF3" s="90">
        <f>'M2-5'!F$15</f>
        <v>44</v>
      </c>
      <c r="BG3" s="41">
        <f>'M2-5'!G$15</f>
        <v>54.17</v>
      </c>
      <c r="BH3" s="41">
        <f>'M2-5'!H$15</f>
        <v>172</v>
      </c>
      <c r="BI3" s="44">
        <f>'M2-5'!I$15</f>
        <v>7.57</v>
      </c>
    </row>
    <row r="4" spans="1:61">
      <c r="A4" s="52" t="s">
        <v>46</v>
      </c>
      <c r="B4" s="93">
        <f>'M2-5'!L$4</f>
        <v>11</v>
      </c>
      <c r="C4" s="108">
        <f>'M2-5'!M$4</f>
        <v>306.36</v>
      </c>
      <c r="D4" s="108">
        <f>'M2-5'!N$4</f>
        <v>1038.18</v>
      </c>
      <c r="E4" s="109">
        <f>'M2-5'!O$4</f>
        <v>11.42</v>
      </c>
      <c r="F4" s="37">
        <f>'M2-5'!L$5</f>
        <v>20</v>
      </c>
      <c r="G4" s="108">
        <f>'M2-5'!M$5</f>
        <v>296</v>
      </c>
      <c r="H4" s="108">
        <f>'M2-5'!N$5</f>
        <v>976</v>
      </c>
      <c r="I4" s="109">
        <f>'M2-5'!O$5</f>
        <v>19.52</v>
      </c>
      <c r="J4" s="37">
        <f>'M2-5'!L$10</f>
        <v>9</v>
      </c>
      <c r="K4" s="108">
        <f>'M2-5'!M$10</f>
        <v>313.33</v>
      </c>
      <c r="L4" s="108">
        <f>'M2-5'!N$10</f>
        <v>1020</v>
      </c>
      <c r="M4" s="109">
        <f>'M2-5'!O$10</f>
        <v>9.18</v>
      </c>
      <c r="N4" s="37">
        <f>'M2-5'!L$11</f>
        <v>19</v>
      </c>
      <c r="O4" s="108">
        <f>'M2-5'!M$11</f>
        <v>280.60000000000002</v>
      </c>
      <c r="P4" s="108">
        <f>'M2-5'!N$11</f>
        <v>940</v>
      </c>
      <c r="Q4" s="109">
        <f>'M2-5'!O$11</f>
        <v>17.88</v>
      </c>
      <c r="R4" s="36">
        <f>'M2-5'!L$12</f>
        <v>27</v>
      </c>
      <c r="S4" s="108">
        <f>'M2-5'!M$12</f>
        <v>251.74</v>
      </c>
      <c r="T4" s="108">
        <f>'M2-5'!N$12</f>
        <v>741.11</v>
      </c>
      <c r="U4" s="110">
        <f>'M2-5'!O$12</f>
        <v>20.010000000000002</v>
      </c>
      <c r="V4" s="93">
        <f>'M2-5'!P$5</f>
        <v>1</v>
      </c>
      <c r="W4" s="108">
        <f>'M2-5'!Q$5</f>
        <v>74</v>
      </c>
      <c r="X4" s="108">
        <f>'M2-5'!R$5</f>
        <v>170</v>
      </c>
      <c r="Y4" s="109">
        <f>'M2-5'!S$5</f>
        <v>0.17</v>
      </c>
      <c r="Z4" s="40">
        <f>'M2-5'!P$4</f>
        <v>12</v>
      </c>
      <c r="AA4" s="108">
        <f>'M2-5'!Q$4</f>
        <v>65.83</v>
      </c>
      <c r="AB4" s="108">
        <f>'M2-5'!R$4</f>
        <v>124.17</v>
      </c>
      <c r="AC4" s="109">
        <f>'M2-5'!S$4</f>
        <v>1.49</v>
      </c>
      <c r="AD4" s="40">
        <f>'M2-5'!L$16</f>
        <v>7</v>
      </c>
      <c r="AE4" s="108">
        <f>'M2-5'!M$16</f>
        <v>119.28</v>
      </c>
      <c r="AF4" s="108">
        <f>'M2-5'!N$16</f>
        <v>1224.3</v>
      </c>
      <c r="AG4" s="109">
        <f>'M2-5'!O$16</f>
        <v>8.57</v>
      </c>
      <c r="AH4" s="90">
        <f>'M2-5'!L$17</f>
        <v>8</v>
      </c>
      <c r="AI4" s="108">
        <f>'M2-5'!M$17</f>
        <v>136.63</v>
      </c>
      <c r="AJ4" s="108">
        <f>'M2-5'!N$17</f>
        <v>1051.3</v>
      </c>
      <c r="AK4" s="109">
        <f>'M2-5'!O$17</f>
        <v>8.41</v>
      </c>
      <c r="AL4" s="38">
        <f>'M2-5'!L$18</f>
        <v>21</v>
      </c>
      <c r="AM4" s="108">
        <f>'M2-5'!M$18</f>
        <v>104.67</v>
      </c>
      <c r="AN4" s="108">
        <f>'M2-5'!N$18</f>
        <v>722.38</v>
      </c>
      <c r="AO4" s="110">
        <f>'M2-5'!O$18</f>
        <v>15.17</v>
      </c>
      <c r="AP4" s="42">
        <f>'M2-5'!P$11</f>
        <v>6</v>
      </c>
      <c r="AQ4" s="41">
        <f>'M2-5'!Q$11</f>
        <v>30.16</v>
      </c>
      <c r="AR4" s="41">
        <f>'M2-5'!R$11</f>
        <v>46</v>
      </c>
      <c r="AS4" s="45">
        <f>'M2-5'!S$11</f>
        <v>0.28000000000000003</v>
      </c>
      <c r="AT4" s="43">
        <f>'M2-5'!P$10</f>
        <v>9</v>
      </c>
      <c r="AU4" s="41">
        <f>'M2-5'!Q$10</f>
        <v>58.33</v>
      </c>
      <c r="AV4" s="41">
        <f>'M2-5'!R$10</f>
        <v>75.56</v>
      </c>
      <c r="AW4" s="45">
        <f>'M2-5'!S$10</f>
        <v>0.68</v>
      </c>
      <c r="AX4" s="43">
        <f>'M2-5'!P$17</f>
        <v>7</v>
      </c>
      <c r="AY4" s="41">
        <f>'M2-5'!Q$17</f>
        <v>45.57</v>
      </c>
      <c r="AZ4" s="41">
        <f>'M2-5'!R$17</f>
        <v>92.86</v>
      </c>
      <c r="BA4" s="45">
        <f>'M2-5'!S$17</f>
        <v>0.65</v>
      </c>
      <c r="BB4" s="43">
        <f>'M2-5'!P$16</f>
        <v>9</v>
      </c>
      <c r="BC4" s="41">
        <f>'M2-5'!Q$16</f>
        <v>50.88</v>
      </c>
      <c r="BD4" s="41">
        <f>'M2-5'!R$16</f>
        <v>128.88</v>
      </c>
      <c r="BE4" s="45">
        <f>'M2-5'!S$16</f>
        <v>1.1599999999999999</v>
      </c>
      <c r="BF4" s="90">
        <f>'M2-5'!P$15</f>
        <v>5</v>
      </c>
      <c r="BG4" s="41">
        <f>'M2-5'!Q$15</f>
        <v>58.6</v>
      </c>
      <c r="BH4" s="41">
        <f>'M2-5'!R$15</f>
        <v>164</v>
      </c>
      <c r="BI4" s="44">
        <f>'M2-5'!S$15</f>
        <v>0.82</v>
      </c>
    </row>
    <row r="5" spans="1:61">
      <c r="A5" s="52" t="s">
        <v>49</v>
      </c>
      <c r="B5" s="93">
        <f>'M7-10'!B$4</f>
        <v>15</v>
      </c>
      <c r="C5" s="36">
        <f>'M7-10'!C$4</f>
        <v>177.13</v>
      </c>
      <c r="D5" s="36">
        <f>'M7-10'!D$4</f>
        <v>202</v>
      </c>
      <c r="E5" s="51">
        <f>'M7-10'!E$4</f>
        <v>3.03</v>
      </c>
      <c r="F5" s="37">
        <f>'M7-10'!B$5</f>
        <v>16</v>
      </c>
      <c r="G5" s="36">
        <f>'M7-10'!C$5</f>
        <v>160</v>
      </c>
      <c r="H5" s="36">
        <f>'M7-10'!D$5</f>
        <v>184.375</v>
      </c>
      <c r="I5" s="51">
        <f>'M7-10'!E$5</f>
        <v>2.95</v>
      </c>
      <c r="J5" s="90">
        <f>'M7-10'!B$10</f>
        <v>32</v>
      </c>
      <c r="K5" s="36">
        <f>'M7-10'!C$10</f>
        <v>151.25</v>
      </c>
      <c r="L5" s="36">
        <f>'M7-10'!D$10</f>
        <v>72.906000000000006</v>
      </c>
      <c r="M5" s="51">
        <f>'M7-10'!E$10</f>
        <v>2.33</v>
      </c>
      <c r="N5" s="37">
        <f>'M7-10'!B$11</f>
        <v>18</v>
      </c>
      <c r="O5" s="36">
        <f>'M7-10'!C$11</f>
        <v>169.27</v>
      </c>
      <c r="P5" s="36">
        <f>'M7-10'!D$11</f>
        <v>184.4</v>
      </c>
      <c r="Q5" s="51">
        <f>'M7-10'!E$11</f>
        <v>3.32</v>
      </c>
      <c r="R5" s="91">
        <f>'M7-10'!B$12</f>
        <v>40</v>
      </c>
      <c r="S5" s="36">
        <f>'M7-10'!C$12</f>
        <v>180.74</v>
      </c>
      <c r="T5" s="36">
        <f>'M7-10'!D$12</f>
        <v>197.25</v>
      </c>
      <c r="U5" s="50">
        <f>'M7-10'!E$12</f>
        <v>7.89</v>
      </c>
      <c r="V5" s="93">
        <f>'M7-10'!F$5</f>
        <v>16</v>
      </c>
      <c r="W5" s="38">
        <f>'M7-10'!G$5</f>
        <v>33.25</v>
      </c>
      <c r="X5" s="38">
        <f>'M7-10'!H$5</f>
        <v>39.375</v>
      </c>
      <c r="Y5" s="48">
        <f>'M7-10'!I$5</f>
        <v>0.63</v>
      </c>
      <c r="Z5" s="90">
        <f>'M7-10'!F$4</f>
        <v>26</v>
      </c>
      <c r="AA5" s="108">
        <f>'M7-10'!G$4</f>
        <v>40.880000000000003</v>
      </c>
      <c r="AB5" s="108">
        <f>'M7-10'!H$4</f>
        <v>65.38</v>
      </c>
      <c r="AC5" s="109">
        <f>'M7-10'!I$4</f>
        <v>1.7</v>
      </c>
      <c r="AD5" s="40">
        <f>'M7-10'!B$16</f>
        <v>10</v>
      </c>
      <c r="AE5" s="38">
        <f>'M7-10'!C$16</f>
        <v>27.4</v>
      </c>
      <c r="AF5" s="38">
        <f>'M7-10'!D$16</f>
        <v>31</v>
      </c>
      <c r="AG5" s="48">
        <f>'M7-10'!E$16</f>
        <v>0.31</v>
      </c>
      <c r="AH5" s="90">
        <f>'M7-10'!B$17</f>
        <v>37</v>
      </c>
      <c r="AI5" s="38">
        <f>'M7-10'!C$17</f>
        <v>36.97</v>
      </c>
      <c r="AJ5" s="38">
        <f>'M7-10'!D$17</f>
        <v>36.22</v>
      </c>
      <c r="AK5" s="48">
        <f>'M7-10'!E$17</f>
        <v>1.34</v>
      </c>
      <c r="AL5" s="91">
        <f>'M7-10'!B$18</f>
        <v>40</v>
      </c>
      <c r="AM5" s="38">
        <f>'M7-10'!C$18</f>
        <v>42.75</v>
      </c>
      <c r="AN5" s="38">
        <f>'M7-10'!D$18</f>
        <v>54.75</v>
      </c>
      <c r="AO5" s="47">
        <f>'M7-10'!E$18</f>
        <v>2.19</v>
      </c>
      <c r="AP5" s="42">
        <f>'M7-10'!F$11</f>
        <v>10</v>
      </c>
      <c r="AQ5" s="41">
        <f>'M7-10'!G$11</f>
        <v>59.5</v>
      </c>
      <c r="AR5" s="41">
        <f>'M7-10'!H$11</f>
        <v>136</v>
      </c>
      <c r="AS5" s="45">
        <f>'M7-10'!I$11</f>
        <v>1.36</v>
      </c>
      <c r="AT5" s="90">
        <f>'M7-10'!F$10</f>
        <v>40</v>
      </c>
      <c r="AU5" s="41">
        <f>'M7-10'!G$10</f>
        <v>47.125</v>
      </c>
      <c r="AV5" s="41">
        <f>'M7-10'!H$10</f>
        <v>86.75</v>
      </c>
      <c r="AW5" s="45">
        <f>'M7-10'!I$10</f>
        <v>3.47</v>
      </c>
      <c r="AX5" s="90">
        <f>'M7-10'!F$17</f>
        <v>19</v>
      </c>
      <c r="AY5" s="41">
        <f>'M7-10'!G$17</f>
        <v>34.840000000000003</v>
      </c>
      <c r="AZ5" s="41">
        <f>'M7-10'!H$17</f>
        <v>48.95</v>
      </c>
      <c r="BA5" s="45">
        <f>'M7-10'!I$17</f>
        <v>0.93</v>
      </c>
      <c r="BB5" s="43">
        <f>'M7-10'!F$16</f>
        <v>20</v>
      </c>
      <c r="BC5" s="41">
        <f>'M7-10'!G$16</f>
        <v>42.35</v>
      </c>
      <c r="BD5" s="41">
        <f>'M7-10'!H$16</f>
        <v>121</v>
      </c>
      <c r="BE5" s="45">
        <f>'M7-10'!I$16</f>
        <v>2.42</v>
      </c>
      <c r="BF5" s="90">
        <f>'M7-10'!F$15</f>
        <v>31</v>
      </c>
      <c r="BG5" s="41">
        <f>'M7-10'!G$15</f>
        <v>55.51</v>
      </c>
      <c r="BH5" s="41">
        <f>'M7-10'!H$15</f>
        <v>110.32</v>
      </c>
      <c r="BI5" s="44">
        <f>'M7-10'!I$15</f>
        <v>3.42</v>
      </c>
    </row>
    <row r="6" spans="1:61">
      <c r="A6" s="52" t="s">
        <v>50</v>
      </c>
      <c r="B6" s="35">
        <f>'M7-10'!L$4</f>
        <v>10</v>
      </c>
      <c r="C6" s="36">
        <f>'M7-10'!M$4</f>
        <v>178.5</v>
      </c>
      <c r="D6" s="36">
        <f>'M7-10'!N$4</f>
        <v>186</v>
      </c>
      <c r="E6" s="51">
        <f>'M7-10'!O$4</f>
        <v>1.86</v>
      </c>
      <c r="F6" s="90">
        <f>'M7-10'!L$5</f>
        <v>34</v>
      </c>
      <c r="G6" s="36">
        <f>'M7-10'!M$5</f>
        <v>196.4</v>
      </c>
      <c r="H6" s="36">
        <f>'M7-10'!N$5</f>
        <v>204.41</v>
      </c>
      <c r="I6" s="51">
        <f>'M7-10'!O$5</f>
        <v>6.95</v>
      </c>
      <c r="J6" s="37">
        <f>'M7-10'!L$10</f>
        <v>10</v>
      </c>
      <c r="K6" s="36">
        <f>'M7-10'!M$10</f>
        <v>182.2</v>
      </c>
      <c r="L6" s="36">
        <f>'M7-10'!N$10</f>
        <v>280</v>
      </c>
      <c r="M6" s="51">
        <f>'M7-10'!O$10</f>
        <v>2.8</v>
      </c>
      <c r="N6" s="90">
        <f>'M7-10'!L$11</f>
        <v>25</v>
      </c>
      <c r="O6" s="36">
        <f>'M7-10'!M$11</f>
        <v>177</v>
      </c>
      <c r="P6" s="36">
        <f>'M7-10'!N$11</f>
        <v>195.6</v>
      </c>
      <c r="Q6" s="51">
        <f>'M7-10'!O$11</f>
        <v>4.8899999999999997</v>
      </c>
      <c r="R6" s="91">
        <f>'M7-10'!L$12</f>
        <v>40</v>
      </c>
      <c r="S6" s="36">
        <f>'M7-10'!M$12</f>
        <v>186.77500000000001</v>
      </c>
      <c r="T6" s="36">
        <f>'M7-10'!N$12</f>
        <v>206.5</v>
      </c>
      <c r="U6" s="50">
        <f>'M7-10'!O$12</f>
        <v>8.26</v>
      </c>
      <c r="V6" s="93">
        <f>'M7-10'!P$5</f>
        <v>39</v>
      </c>
      <c r="W6" s="38">
        <f>'M7-10'!Q$5</f>
        <v>40.659999999999997</v>
      </c>
      <c r="X6" s="38">
        <f>'M7-10'!R$5</f>
        <v>38.97</v>
      </c>
      <c r="Y6" s="48">
        <f>'M7-10'!S$5</f>
        <v>1.52</v>
      </c>
      <c r="Z6" s="40">
        <f>'M7-10'!P$4</f>
        <v>20</v>
      </c>
      <c r="AA6" s="108">
        <f>'M7-10'!Q$4</f>
        <v>58.45</v>
      </c>
      <c r="AB6" s="108">
        <f>'M7-10'!R$4</f>
        <v>138.5</v>
      </c>
      <c r="AC6" s="109">
        <f>'M7-10'!S$4</f>
        <v>2.77</v>
      </c>
      <c r="AD6" s="40">
        <f>'M7-10'!L$16</f>
        <v>10</v>
      </c>
      <c r="AE6" s="38">
        <f>'M7-10'!M$16</f>
        <v>42.2</v>
      </c>
      <c r="AF6" s="38">
        <f>'M7-10'!N$16</f>
        <v>55</v>
      </c>
      <c r="AG6" s="48">
        <f>'M7-10'!O$16</f>
        <v>0.55000000000000004</v>
      </c>
      <c r="AH6" s="90">
        <f>'M7-10'!L$17</f>
        <v>27</v>
      </c>
      <c r="AI6" s="38">
        <f>'M7-10'!M$17</f>
        <v>3.81</v>
      </c>
      <c r="AJ6" s="38">
        <f>'M7-10'!N$17</f>
        <v>51.85</v>
      </c>
      <c r="AK6" s="48">
        <f>'M7-10'!O$17</f>
        <v>1.4</v>
      </c>
      <c r="AL6" s="91">
        <f>'M7-10'!L$18</f>
        <v>40</v>
      </c>
      <c r="AM6" s="108">
        <f>'M7-10'!M$18</f>
        <v>59.2</v>
      </c>
      <c r="AN6" s="108">
        <f>'M7-10'!N$18</f>
        <v>267.75</v>
      </c>
      <c r="AO6" s="110">
        <f>'M7-10'!O$18</f>
        <v>10.71</v>
      </c>
      <c r="AP6" s="42">
        <f>'M7-10'!P$11</f>
        <v>10</v>
      </c>
      <c r="AQ6" s="41">
        <f>'M7-10'!Q$11</f>
        <v>34</v>
      </c>
      <c r="AR6" s="41">
        <f>'M7-10'!R$11</f>
        <v>60</v>
      </c>
      <c r="AS6" s="45">
        <f>'M7-10'!S$11</f>
        <v>0.6</v>
      </c>
      <c r="AT6" s="43">
        <f>'M7-10'!P$10</f>
        <v>13</v>
      </c>
      <c r="AU6" s="41">
        <f>'M7-10'!Q$10</f>
        <v>5.29</v>
      </c>
      <c r="AV6" s="41">
        <f>'M7-10'!R$10</f>
        <v>173.84</v>
      </c>
      <c r="AW6" s="45">
        <f>'M7-10'!S$10</f>
        <v>2.2599999999999998</v>
      </c>
      <c r="AX6" s="90">
        <f>'M7-10'!P$17</f>
        <v>14</v>
      </c>
      <c r="AY6" s="41">
        <f>'M7-10'!Q$17</f>
        <v>4.51</v>
      </c>
      <c r="AZ6" s="41">
        <f>'M7-10'!R$17</f>
        <v>113.57</v>
      </c>
      <c r="BA6" s="45">
        <f>'M7-10'!S$17</f>
        <v>1.59</v>
      </c>
      <c r="BB6" s="43">
        <f>'M7-10'!P$16</f>
        <v>18</v>
      </c>
      <c r="BC6" s="41">
        <f>'M7-10'!Q$16</f>
        <v>52.66</v>
      </c>
      <c r="BD6" s="41">
        <f>'M7-10'!R$16</f>
        <v>149.44</v>
      </c>
      <c r="BE6" s="45">
        <f>'M7-10'!S$16</f>
        <v>2.69</v>
      </c>
      <c r="BF6" s="90">
        <f>'M7-10'!P$15</f>
        <v>39</v>
      </c>
      <c r="BG6" s="41">
        <f>'M7-10'!Q$15</f>
        <v>54.43</v>
      </c>
      <c r="BH6" s="41">
        <f>'M7-10'!R$15</f>
        <v>116.15</v>
      </c>
      <c r="BI6" s="44">
        <f>'M7-10'!S$15</f>
        <v>4.53</v>
      </c>
    </row>
    <row r="7" spans="1:61">
      <c r="A7" s="52" t="s">
        <v>53</v>
      </c>
      <c r="B7" s="35">
        <f>'T9-12'!B$4</f>
        <v>10</v>
      </c>
      <c r="C7" s="36">
        <f>'T9-12'!C$4</f>
        <v>164.3</v>
      </c>
      <c r="D7" s="36">
        <f>'T9-12'!D$4</f>
        <v>202</v>
      </c>
      <c r="E7" s="51">
        <f>'T9-12'!E$4</f>
        <v>2.02</v>
      </c>
      <c r="F7" s="37">
        <f>'T9-12'!B$5</f>
        <v>20</v>
      </c>
      <c r="G7" s="36">
        <f>'T9-12'!C$5</f>
        <v>158.4</v>
      </c>
      <c r="H7" s="36">
        <f>'T9-12'!D$5</f>
        <v>207.5</v>
      </c>
      <c r="I7" s="51">
        <f>'T9-12'!E$5</f>
        <v>4.1500000000000004</v>
      </c>
      <c r="J7" s="90">
        <f>'T9-12'!B$10</f>
        <v>11</v>
      </c>
      <c r="K7" s="36">
        <f>'T9-12'!C$10</f>
        <v>173.73</v>
      </c>
      <c r="L7" s="36">
        <f>'T9-12'!D$10</f>
        <v>218</v>
      </c>
      <c r="M7" s="51">
        <f>'T9-12'!E$10</f>
        <v>2.4</v>
      </c>
      <c r="N7" s="90">
        <f>'T9-12'!B$11</f>
        <v>21</v>
      </c>
      <c r="O7" s="36">
        <f>'T9-12'!C$11</f>
        <v>163.47999999999999</v>
      </c>
      <c r="P7" s="36">
        <f>'T9-12'!D$11</f>
        <v>168</v>
      </c>
      <c r="Q7" s="51">
        <f>'T9-12'!E$11</f>
        <v>3.53</v>
      </c>
      <c r="R7" s="36">
        <f>'T9-12'!B$12</f>
        <v>29</v>
      </c>
      <c r="S7" s="36">
        <f>'T9-12'!C$12</f>
        <v>167.96</v>
      </c>
      <c r="T7" s="36">
        <f>'T9-12'!D$12</f>
        <v>185.86</v>
      </c>
      <c r="U7" s="50">
        <f>'T9-12'!E$12</f>
        <v>5.39</v>
      </c>
      <c r="V7" s="39">
        <f>'T9-12'!F$5</f>
        <v>6</v>
      </c>
      <c r="W7" s="38">
        <f>'T9-12'!G$5</f>
        <v>25</v>
      </c>
      <c r="X7" s="38">
        <f>'T9-12'!H$5</f>
        <v>30</v>
      </c>
      <c r="Y7" s="48">
        <f>'T9-12'!I$5</f>
        <v>0.18</v>
      </c>
      <c r="Z7" s="40">
        <f>'T9-12'!F$4</f>
        <v>11</v>
      </c>
      <c r="AA7" s="38">
        <f>'T9-12'!G$4</f>
        <v>15.05</v>
      </c>
      <c r="AB7" s="38">
        <f>'T9-12'!H$4</f>
        <v>20.9</v>
      </c>
      <c r="AC7" s="48">
        <f>'T9-12'!I$4</f>
        <v>0.23</v>
      </c>
      <c r="AD7" s="40">
        <f>'T9-12'!B$16</f>
        <v>4</v>
      </c>
      <c r="AE7" s="38">
        <f>'T9-12'!C$16</f>
        <v>31.75</v>
      </c>
      <c r="AF7" s="38">
        <f>'T9-12'!D$16</f>
        <v>35</v>
      </c>
      <c r="AG7" s="48">
        <f>'T9-12'!E$16</f>
        <v>0.14000000000000001</v>
      </c>
      <c r="AH7" s="40">
        <f>'T9-12'!B$17</f>
        <v>20</v>
      </c>
      <c r="AI7" s="38">
        <f>'T9-12'!C$17</f>
        <v>33.549999999999997</v>
      </c>
      <c r="AJ7" s="38">
        <f>'T9-12'!D$17</f>
        <v>52.5</v>
      </c>
      <c r="AK7" s="48">
        <f>'T9-12'!E$17</f>
        <v>1.05</v>
      </c>
      <c r="AL7" s="91">
        <f>'T9-12'!B$18</f>
        <v>13</v>
      </c>
      <c r="AM7" s="38">
        <f>'T9-12'!C$18</f>
        <v>26.384599999999999</v>
      </c>
      <c r="AN7" s="38">
        <f>'T9-12'!D$18</f>
        <v>42.3</v>
      </c>
      <c r="AO7" s="47">
        <f>'T9-12'!E$18</f>
        <v>0.55000000000000004</v>
      </c>
      <c r="AP7" s="42">
        <f>'T9-12'!F$11</f>
        <v>4</v>
      </c>
      <c r="AQ7" s="41">
        <f>'T9-12'!G$11</f>
        <v>50</v>
      </c>
      <c r="AR7" s="41">
        <f>'T9-12'!H$11</f>
        <v>103</v>
      </c>
      <c r="AS7" s="45">
        <f>'T9-12'!I$11</f>
        <v>0.41</v>
      </c>
      <c r="AT7" s="90">
        <f>'T9-12'!F$10</f>
        <v>18</v>
      </c>
      <c r="AU7" s="41">
        <f>'T9-12'!G$10</f>
        <v>48</v>
      </c>
      <c r="AV7" s="91">
        <f>'T9-12'!H$10</f>
        <v>96</v>
      </c>
      <c r="AW7" s="92">
        <f>'T9-12'!I$10</f>
        <v>1.34</v>
      </c>
      <c r="AX7" s="43">
        <f>'T9-12'!F$17</f>
        <v>8</v>
      </c>
      <c r="AY7" s="41">
        <f>'T9-12'!G$17</f>
        <v>37.875</v>
      </c>
      <c r="AZ7" s="41">
        <f>'T9-12'!H$17</f>
        <v>91</v>
      </c>
      <c r="BA7" s="45">
        <f>'T9-12'!I$17</f>
        <v>0.73</v>
      </c>
      <c r="BB7" s="43">
        <f>'T9-12'!F$16</f>
        <v>12</v>
      </c>
      <c r="BC7" s="41">
        <f>'T9-12'!G$16</f>
        <v>56.25</v>
      </c>
      <c r="BD7" s="41">
        <f>'T9-12'!H$16</f>
        <v>162</v>
      </c>
      <c r="BE7" s="45">
        <f>'T9-12'!I$16</f>
        <v>1.95</v>
      </c>
      <c r="BF7" s="43">
        <f>'T9-12'!F$15</f>
        <v>20</v>
      </c>
      <c r="BG7" s="41">
        <f>'T9-12'!G$15</f>
        <v>44.35</v>
      </c>
      <c r="BH7" s="41">
        <f>'T9-12'!H$15</f>
        <v>95</v>
      </c>
      <c r="BI7" s="44">
        <f>'T9-12'!I$15</f>
        <v>1.9</v>
      </c>
    </row>
    <row r="8" spans="1:61">
      <c r="A8" s="52" t="s">
        <v>54</v>
      </c>
      <c r="B8" s="35">
        <f>'T9-12'!L$4</f>
        <v>9</v>
      </c>
      <c r="C8" s="36">
        <f>'T9-12'!M$4</f>
        <v>142.22</v>
      </c>
      <c r="D8" s="36">
        <f>'T9-12'!N$4</f>
        <v>150</v>
      </c>
      <c r="E8" s="51">
        <f>'T9-12'!O$4</f>
        <v>1.35</v>
      </c>
      <c r="F8" s="37">
        <f>'T9-12'!L$5</f>
        <v>20</v>
      </c>
      <c r="G8" s="36">
        <f>'T9-12'!M$5</f>
        <v>161.44999999999999</v>
      </c>
      <c r="H8" s="36">
        <f>'T9-12'!N$5</f>
        <v>162</v>
      </c>
      <c r="I8" s="51">
        <f>'T9-12'!O$5</f>
        <v>3.24</v>
      </c>
      <c r="J8" s="37">
        <f>'T9-12'!L$10</f>
        <v>10</v>
      </c>
      <c r="K8" s="36">
        <f>'T9-12'!M$10</f>
        <v>182.9</v>
      </c>
      <c r="L8" s="36">
        <f>'T9-12'!N$10</f>
        <v>192</v>
      </c>
      <c r="M8" s="51">
        <f>'T9-12'!O$10</f>
        <v>1.92</v>
      </c>
      <c r="N8" s="37">
        <f>'T9-12'!L$11</f>
        <v>19</v>
      </c>
      <c r="O8" s="36">
        <f>'T9-12'!M$11</f>
        <v>172</v>
      </c>
      <c r="P8" s="36">
        <f>'T9-12'!N$11</f>
        <v>184.74</v>
      </c>
      <c r="Q8" s="51">
        <f>'T9-12'!O$11</f>
        <v>3.51</v>
      </c>
      <c r="R8" s="36">
        <f>'T9-12'!L$12</f>
        <v>29</v>
      </c>
      <c r="S8" s="36">
        <f>'T9-12'!M$12</f>
        <v>176.38</v>
      </c>
      <c r="T8" s="36">
        <f>'T9-12'!N$12</f>
        <v>173.45</v>
      </c>
      <c r="U8" s="50">
        <f>'T9-12'!O$12</f>
        <v>5.03</v>
      </c>
      <c r="V8" s="93">
        <f>'T9-12'!P$5</f>
        <v>12</v>
      </c>
      <c r="W8" s="38">
        <f>'T9-12'!Q$5</f>
        <v>41.58</v>
      </c>
      <c r="X8" s="38">
        <f>'T9-12'!R$5</f>
        <v>40</v>
      </c>
      <c r="Y8" s="48">
        <f>'T9-12'!S$5</f>
        <v>0.48</v>
      </c>
      <c r="Z8" s="40">
        <f>'T9-12'!P$4</f>
        <v>13</v>
      </c>
      <c r="AA8" s="38">
        <f>'T9-12'!Q$4</f>
        <v>32.31</v>
      </c>
      <c r="AB8" s="38">
        <f>'T9-12'!R$4</f>
        <v>40</v>
      </c>
      <c r="AC8" s="48">
        <f>'T9-12'!S$4</f>
        <v>0.52</v>
      </c>
      <c r="AD8" s="40">
        <f>'T9-12'!L$16</f>
        <v>6</v>
      </c>
      <c r="AE8" s="38">
        <f>'T9-12'!M$16</f>
        <v>36</v>
      </c>
      <c r="AF8" s="38">
        <f>'T9-12'!N$16</f>
        <v>48.3</v>
      </c>
      <c r="AG8" s="48">
        <f>'T9-12'!O$16</f>
        <v>0.28999999999999998</v>
      </c>
      <c r="AH8" s="40">
        <f>'T9-12'!L$17</f>
        <v>10</v>
      </c>
      <c r="AI8" s="38">
        <f>'T9-12'!M$17</f>
        <v>33.200000000000003</v>
      </c>
      <c r="AJ8" s="38">
        <f>'T9-12'!N$17</f>
        <v>35</v>
      </c>
      <c r="AK8" s="48">
        <f>'T9-12'!O$17</f>
        <v>0.35</v>
      </c>
      <c r="AL8" s="38">
        <f>'T9-12'!L$18</f>
        <v>23</v>
      </c>
      <c r="AM8" s="38">
        <f>'T9-12'!M$18</f>
        <v>45.08</v>
      </c>
      <c r="AN8" s="38">
        <f>'T9-12'!N$18</f>
        <v>61.74</v>
      </c>
      <c r="AO8" s="47">
        <f>'T9-12'!O$18</f>
        <v>1.42</v>
      </c>
      <c r="AP8" s="42">
        <f>'T9-12'!P$11</f>
        <v>4</v>
      </c>
      <c r="AQ8" s="41">
        <f>'T9-12'!Q$11</f>
        <v>76.75</v>
      </c>
      <c r="AR8" s="41">
        <f>'T9-12'!R$11</f>
        <v>180</v>
      </c>
      <c r="AS8" s="45">
        <f>'T9-12'!S$11</f>
        <v>0.72</v>
      </c>
      <c r="AT8" s="43">
        <f>'T9-12'!P$10</f>
        <v>14</v>
      </c>
      <c r="AU8" s="41">
        <f>'T9-12'!Q$10</f>
        <v>48.57</v>
      </c>
      <c r="AV8" s="41">
        <f>'T9-12'!R$10</f>
        <v>92.86</v>
      </c>
      <c r="AW8" s="45">
        <f>'T9-12'!S$10</f>
        <v>1.3</v>
      </c>
      <c r="AX8" s="43">
        <f>'T9-12'!P$17</f>
        <v>7</v>
      </c>
      <c r="AY8" s="41">
        <f>'T9-12'!Q$17</f>
        <v>79.290000000000006</v>
      </c>
      <c r="AZ8" s="41">
        <f>'T9-12'!R$17</f>
        <v>261.43</v>
      </c>
      <c r="BA8" s="45">
        <f>'T9-12'!S$17</f>
        <v>1.83</v>
      </c>
      <c r="BB8" s="43">
        <f>'T9-12'!P$16</f>
        <v>10</v>
      </c>
      <c r="BC8" s="41">
        <f>'T9-12'!Q$16</f>
        <v>59.1</v>
      </c>
      <c r="BD8" s="41">
        <f>'T9-12'!R$16</f>
        <v>128</v>
      </c>
      <c r="BE8" s="45">
        <f>'T9-12'!S$16</f>
        <v>1.28</v>
      </c>
      <c r="BF8" s="43">
        <f>'T9-12'!P$15</f>
        <v>16</v>
      </c>
      <c r="BG8" s="41">
        <f>'T9-12'!Q$15</f>
        <v>53.56</v>
      </c>
      <c r="BH8" s="41">
        <f>'T9-12'!R$15</f>
        <v>156.25</v>
      </c>
      <c r="BI8" s="44">
        <f>'T9-12'!S$15</f>
        <v>2.5</v>
      </c>
    </row>
    <row r="9" spans="1:61">
      <c r="A9" s="52" t="s">
        <v>57</v>
      </c>
      <c r="B9" s="35">
        <f>'T2-5'!B$4</f>
        <v>10</v>
      </c>
      <c r="C9" s="36">
        <f>'T2-5'!C$4</f>
        <v>176</v>
      </c>
      <c r="D9" s="36">
        <f>'T2-5'!D$4</f>
        <v>176</v>
      </c>
      <c r="E9" s="51">
        <f>'T2-5'!E$4</f>
        <v>1.76</v>
      </c>
      <c r="F9" s="37">
        <f>'T2-5'!B$5</f>
        <v>18</v>
      </c>
      <c r="G9" s="36">
        <f>'T2-5'!C$5</f>
        <v>174.6</v>
      </c>
      <c r="H9" s="36">
        <f>'T2-5'!D$5</f>
        <v>170.55</v>
      </c>
      <c r="I9" s="51">
        <f>'T2-5'!E$5</f>
        <v>3.07</v>
      </c>
      <c r="J9" s="37">
        <f>'T2-5'!B$10</f>
        <v>10</v>
      </c>
      <c r="K9" s="36">
        <f>'T2-5'!C$10</f>
        <v>158.9</v>
      </c>
      <c r="L9" s="36">
        <f>'T2-5'!D$10</f>
        <v>169</v>
      </c>
      <c r="M9" s="51">
        <f>'T2-5'!E$10</f>
        <v>1.69</v>
      </c>
      <c r="N9" s="37">
        <f>'T2-5'!B$11</f>
        <v>19</v>
      </c>
      <c r="O9" s="36">
        <f>'T2-5'!C$11</f>
        <v>152.21100000000001</v>
      </c>
      <c r="P9" s="36">
        <f>'T2-5'!D$11</f>
        <v>208.947</v>
      </c>
      <c r="Q9" s="51">
        <f>'T2-5'!E$11</f>
        <v>3.97</v>
      </c>
      <c r="R9" s="36">
        <f>'T2-5'!B$12</f>
        <v>28</v>
      </c>
      <c r="S9" s="36">
        <f>'T2-5'!C$12</f>
        <v>171.161</v>
      </c>
      <c r="T9" s="36">
        <f>'T2-5'!D$12</f>
        <v>177.857</v>
      </c>
      <c r="U9" s="50">
        <f>'T2-5'!E$12</f>
        <v>4.9800000000000004</v>
      </c>
      <c r="V9" s="39">
        <f>'T2-5'!F$5</f>
        <v>9</v>
      </c>
      <c r="W9" s="38">
        <f>'T2-5'!G$5</f>
        <v>25.8</v>
      </c>
      <c r="X9" s="38">
        <f>'T2-5'!H$5</f>
        <v>28.8</v>
      </c>
      <c r="Y9" s="48">
        <f>'T2-5'!I$5</f>
        <v>0.26</v>
      </c>
      <c r="Z9" s="90">
        <f>'T2-5'!F$4</f>
        <v>7</v>
      </c>
      <c r="AA9" s="38">
        <f>'T2-5'!G$4</f>
        <v>27.3</v>
      </c>
      <c r="AB9" s="38">
        <f>'T2-5'!H$4</f>
        <v>38.6</v>
      </c>
      <c r="AC9" s="48">
        <f>'T2-5'!I$4</f>
        <v>0.27</v>
      </c>
      <c r="AD9" s="40">
        <f>'T2-5'!B$16</f>
        <v>7</v>
      </c>
      <c r="AE9" s="38">
        <f>'T2-5'!C$16</f>
        <v>31.86</v>
      </c>
      <c r="AF9" s="38">
        <f>'T2-5'!D$16</f>
        <v>47.14</v>
      </c>
      <c r="AG9" s="48">
        <f>'T2-5'!E$16</f>
        <v>0.33</v>
      </c>
      <c r="AH9" s="40">
        <f>'T2-5'!B$17</f>
        <v>11</v>
      </c>
      <c r="AI9" s="38">
        <f>'T2-5'!C$17</f>
        <v>26.545000000000002</v>
      </c>
      <c r="AJ9" s="38">
        <f>'T2-5'!D$17</f>
        <v>32.5</v>
      </c>
      <c r="AK9" s="48">
        <f>'T2-5'!E$17</f>
        <v>0.35749999999999998</v>
      </c>
      <c r="AL9" s="38">
        <f>'T2-5'!B$18</f>
        <v>16</v>
      </c>
      <c r="AM9" s="38">
        <f>'T2-5'!C$18</f>
        <v>32.93</v>
      </c>
      <c r="AN9" s="38">
        <f>'T2-5'!D$18</f>
        <v>34.375</v>
      </c>
      <c r="AO9" s="47">
        <f>'T2-5'!E$18</f>
        <v>0.55000000000000004</v>
      </c>
      <c r="AP9" s="42">
        <f>'T2-5'!F$11</f>
        <v>3</v>
      </c>
      <c r="AQ9" s="41">
        <f>'T2-5'!G$11</f>
        <v>18</v>
      </c>
      <c r="AR9" s="41">
        <f>'T2-5'!H$11</f>
        <v>13.3</v>
      </c>
      <c r="AS9" s="45">
        <f>'T2-5'!I$11</f>
        <v>0.04</v>
      </c>
      <c r="AT9" s="90">
        <f>'T2-5'!F$10</f>
        <v>3</v>
      </c>
      <c r="AU9" s="41">
        <f>'T2-5'!G$10</f>
        <v>41.33</v>
      </c>
      <c r="AV9" s="41">
        <f>'T2-5'!H$10</f>
        <v>173.33</v>
      </c>
      <c r="AW9" s="45">
        <f>'T2-5'!I$10</f>
        <v>0.52</v>
      </c>
      <c r="AX9" s="43">
        <f>'T2-5'!F$17</f>
        <v>5</v>
      </c>
      <c r="AY9" s="41">
        <f>'T2-5'!G$17</f>
        <v>68</v>
      </c>
      <c r="AZ9" s="41">
        <f>'T2-5'!H$17</f>
        <v>186.14</v>
      </c>
      <c r="BA9" s="45">
        <f>'T2-5'!I$17</f>
        <v>0.93069999999999997</v>
      </c>
      <c r="BB9" s="43">
        <f>'T2-5'!F$16</f>
        <v>14</v>
      </c>
      <c r="BC9" s="41">
        <f>'T2-5'!G$16</f>
        <v>58.71</v>
      </c>
      <c r="BD9" s="41">
        <f>'T2-5'!H$16</f>
        <v>146.43</v>
      </c>
      <c r="BE9" s="45">
        <f>'T2-5'!I$16</f>
        <v>2.0499999999999998</v>
      </c>
      <c r="BF9" s="43">
        <f>'T2-5'!F$15</f>
        <v>16</v>
      </c>
      <c r="BG9" s="41">
        <f>'T2-5'!G$15</f>
        <v>52.064999999999998</v>
      </c>
      <c r="BH9" s="41">
        <f>'T2-5'!H$15</f>
        <v>133.125</v>
      </c>
      <c r="BI9" s="44">
        <f>'T2-5'!I$15</f>
        <v>2.13</v>
      </c>
    </row>
    <row r="10" spans="1:61">
      <c r="A10" s="52" t="s">
        <v>58</v>
      </c>
      <c r="B10" s="35">
        <f>'T2-5'!L$4</f>
        <v>9</v>
      </c>
      <c r="C10" s="36">
        <f>'T2-5'!M$4</f>
        <v>163.33000000000001</v>
      </c>
      <c r="D10" s="36">
        <f>'T2-5'!N$4</f>
        <v>223.33</v>
      </c>
      <c r="E10" s="51">
        <f>'T2-5'!O$4</f>
        <v>2.0099999999999998</v>
      </c>
      <c r="F10" s="37">
        <f>'T2-5'!L$5</f>
        <v>20</v>
      </c>
      <c r="G10" s="36">
        <f>'T2-5'!M$5</f>
        <v>173.9</v>
      </c>
      <c r="H10" s="36">
        <f>'T2-5'!N$5</f>
        <v>214.5</v>
      </c>
      <c r="I10" s="51">
        <f>'T2-5'!O$5</f>
        <v>4.29</v>
      </c>
      <c r="J10" s="37">
        <f>'T2-5'!L$10</f>
        <v>9</v>
      </c>
      <c r="K10" s="36">
        <f>'T2-5'!M$10</f>
        <v>158.33000000000001</v>
      </c>
      <c r="L10" s="36">
        <f>'T2-5'!N$10</f>
        <v>183.33</v>
      </c>
      <c r="M10" s="51">
        <f>'T2-5'!O$10</f>
        <v>1.65</v>
      </c>
      <c r="N10" s="37">
        <f>'T2-5'!L$11</f>
        <v>19</v>
      </c>
      <c r="O10" s="36">
        <f>'T2-5'!M$11</f>
        <v>141.1</v>
      </c>
      <c r="P10" s="36">
        <f>'T2-5'!N$11</f>
        <v>151.57</v>
      </c>
      <c r="Q10" s="51">
        <f>'T2-5'!O$11</f>
        <v>2.88</v>
      </c>
      <c r="R10" s="36">
        <f>'T2-5'!L$12</f>
        <v>29</v>
      </c>
      <c r="S10" s="36">
        <f>'T2-5'!M$12</f>
        <v>162.79</v>
      </c>
      <c r="T10" s="36">
        <f>'T2-5'!N$12</f>
        <v>185.17</v>
      </c>
      <c r="U10" s="50">
        <f>'T2-5'!O$12</f>
        <v>5.37</v>
      </c>
      <c r="V10" s="39">
        <f>'T2-5'!P$5</f>
        <v>6</v>
      </c>
      <c r="W10" s="38">
        <f>'T2-5'!Q$5</f>
        <v>35.33</v>
      </c>
      <c r="X10" s="38">
        <f>'T2-5'!R$5</f>
        <v>38.33</v>
      </c>
      <c r="Y10" s="48">
        <f>'T2-5'!S$5</f>
        <v>0.23</v>
      </c>
      <c r="Z10" s="40">
        <f>'T2-5'!P$4</f>
        <v>11</v>
      </c>
      <c r="AA10" s="38">
        <f>'T2-5'!Q$4</f>
        <v>27.54</v>
      </c>
      <c r="AB10" s="38">
        <f>'T2-5'!R$4</f>
        <v>30</v>
      </c>
      <c r="AC10" s="48">
        <f>'T2-5'!S$4</f>
        <v>0.33</v>
      </c>
      <c r="AD10" s="40">
        <f>'T2-5'!L$16</f>
        <v>5</v>
      </c>
      <c r="AE10" s="38">
        <f>'T2-5'!M$16</f>
        <v>3.5</v>
      </c>
      <c r="AF10" s="38">
        <f>'T2-5'!N$16</f>
        <v>34</v>
      </c>
      <c r="AG10" s="48">
        <f>'T2-5'!O$16</f>
        <v>0.17</v>
      </c>
      <c r="AH10" s="40">
        <f>'T2-5'!L$17</f>
        <v>11</v>
      </c>
      <c r="AI10" s="38">
        <f>'T2-5'!M$17</f>
        <v>29.27</v>
      </c>
      <c r="AJ10" s="38">
        <f>'T2-5'!N$17</f>
        <v>31.81</v>
      </c>
      <c r="AK10" s="48">
        <f>'T2-5'!O$17</f>
        <v>0.35</v>
      </c>
      <c r="AL10" s="38">
        <f>'T2-5'!L$18</f>
        <v>23</v>
      </c>
      <c r="AM10" s="38">
        <f>'T2-5'!M$18</f>
        <v>3.5</v>
      </c>
      <c r="AN10" s="38">
        <f>'T2-5'!N$18</f>
        <v>54.78</v>
      </c>
      <c r="AO10" s="47">
        <f>'T2-5'!O$18</f>
        <v>1.26</v>
      </c>
      <c r="AP10" s="42">
        <f>'T2-5'!P$11</f>
        <v>9</v>
      </c>
      <c r="AQ10" s="41">
        <f>'T2-5'!Q$11</f>
        <v>54.55</v>
      </c>
      <c r="AR10" s="41">
        <f>'T2-5'!R$11</f>
        <v>144.44</v>
      </c>
      <c r="AS10" s="45">
        <f>'T2-5'!S$11</f>
        <v>1.3</v>
      </c>
      <c r="AT10" s="43">
        <f>'T2-5'!P$10</f>
        <v>20</v>
      </c>
      <c r="AU10" s="41">
        <f>'T2-5'!Q$10</f>
        <v>51.8</v>
      </c>
      <c r="AV10" s="41">
        <f>'T2-5'!R$10</f>
        <v>135.5</v>
      </c>
      <c r="AW10" s="45">
        <f>'T2-5'!S$10</f>
        <v>2.71</v>
      </c>
      <c r="AX10" s="43">
        <f>'T2-5'!P$17</f>
        <v>7</v>
      </c>
      <c r="AY10" s="41">
        <f>'T2-5'!Q$17</f>
        <v>57</v>
      </c>
      <c r="AZ10" s="41">
        <f>'T2-5'!R$17</f>
        <v>185.71</v>
      </c>
      <c r="BA10" s="45">
        <f>'T2-5'!S$17</f>
        <v>1.3</v>
      </c>
      <c r="BB10" s="43">
        <f>'T2-5'!P$16</f>
        <v>16</v>
      </c>
      <c r="BC10" s="41">
        <f>'T2-5'!Q$16</f>
        <v>5.66</v>
      </c>
      <c r="BD10" s="41">
        <f>'T2-5'!R$16</f>
        <v>131.87</v>
      </c>
      <c r="BE10" s="45">
        <f>'T2-5'!S$16</f>
        <v>2.11</v>
      </c>
      <c r="BF10" s="43">
        <f>'T2-5'!P$15</f>
        <v>17</v>
      </c>
      <c r="BG10" s="41">
        <f>'T2-5'!Q$15</f>
        <v>61.11</v>
      </c>
      <c r="BH10" s="41">
        <f>'T2-5'!R$15</f>
        <v>146.47</v>
      </c>
      <c r="BI10" s="44">
        <f>'T2-5'!S$15</f>
        <v>2.4900000000000002</v>
      </c>
    </row>
    <row r="11" spans="1:61">
      <c r="A11" s="52" t="s">
        <v>61</v>
      </c>
      <c r="B11" s="35">
        <f>'T7-10'!B$4</f>
        <v>9</v>
      </c>
      <c r="C11" s="36">
        <f>'T7-10'!C$4</f>
        <v>157.6</v>
      </c>
      <c r="D11" s="36">
        <f>'T7-10'!D$4</f>
        <v>148.9</v>
      </c>
      <c r="E11" s="51">
        <f>'T7-10'!E$4</f>
        <v>1.34</v>
      </c>
      <c r="F11" s="37">
        <f>'T7-10'!B$5</f>
        <v>20</v>
      </c>
      <c r="G11" s="36">
        <f>'T7-10'!C$5</f>
        <v>165.25</v>
      </c>
      <c r="H11" s="36">
        <f>'T7-10'!D$5</f>
        <v>145</v>
      </c>
      <c r="I11" s="51">
        <f>'T7-10'!E$5</f>
        <v>2.9</v>
      </c>
      <c r="J11" s="37" t="str">
        <f>'T7-10'!B$10</f>
        <v>na</v>
      </c>
      <c r="K11" s="36" t="str">
        <f>'T7-10'!C$10</f>
        <v>na</v>
      </c>
      <c r="L11" s="36" t="str">
        <f>'T7-10'!D$10</f>
        <v>na</v>
      </c>
      <c r="M11" s="51" t="str">
        <f>'T7-10'!E$10</f>
        <v>na</v>
      </c>
      <c r="N11" s="37">
        <f>'T7-10'!B$11</f>
        <v>20</v>
      </c>
      <c r="O11" s="36">
        <f>'T7-10'!C$11</f>
        <v>187.55</v>
      </c>
      <c r="P11" s="36">
        <f>'T7-10'!D$11</f>
        <v>168.48500000000001</v>
      </c>
      <c r="Q11" s="51">
        <f>'T7-10'!E$11</f>
        <v>3.3687</v>
      </c>
      <c r="R11" s="36">
        <f>'T7-10'!B$12</f>
        <v>29</v>
      </c>
      <c r="S11" s="36">
        <f>'T7-10'!C$12</f>
        <v>175.72</v>
      </c>
      <c r="T11" s="36">
        <f>'T7-10'!D$12</f>
        <v>184.13</v>
      </c>
      <c r="U11" s="50">
        <f>'T7-10'!E$12</f>
        <v>5.34</v>
      </c>
      <c r="V11" s="39">
        <f>'T7-10'!F$5</f>
        <v>9</v>
      </c>
      <c r="W11" s="38">
        <f>'T7-10'!G$5</f>
        <v>28.1</v>
      </c>
      <c r="X11" s="38">
        <f>'T7-10'!H$5</f>
        <v>33.33</v>
      </c>
      <c r="Y11" s="48">
        <f>'T7-10'!I$5</f>
        <v>0.3</v>
      </c>
      <c r="Z11" s="40">
        <f>'T7-10'!F$4</f>
        <v>14</v>
      </c>
      <c r="AA11" s="38">
        <f>'T7-10'!G$4</f>
        <v>24.76</v>
      </c>
      <c r="AB11" s="38">
        <f>'T7-10'!H$4</f>
        <v>42.856999999999999</v>
      </c>
      <c r="AC11" s="48">
        <f>'T7-10'!I$4</f>
        <v>0.6</v>
      </c>
      <c r="AD11" s="40">
        <f>'T7-10'!B$16</f>
        <v>4</v>
      </c>
      <c r="AE11" s="38">
        <f>'T7-10'!C$16</f>
        <v>33</v>
      </c>
      <c r="AF11" s="38">
        <f>'T7-10'!D$16</f>
        <v>42.5</v>
      </c>
      <c r="AG11" s="48">
        <f>'T7-10'!E$16</f>
        <v>0.17</v>
      </c>
      <c r="AH11" s="40">
        <f>'T7-10'!B$17</f>
        <v>13</v>
      </c>
      <c r="AI11" s="38">
        <f>'T7-10'!C$17</f>
        <v>31</v>
      </c>
      <c r="AJ11" s="38">
        <f>'T7-10'!D$17</f>
        <v>30.7</v>
      </c>
      <c r="AK11" s="48">
        <f>'T7-10'!E$17</f>
        <v>0.4</v>
      </c>
      <c r="AL11" s="38">
        <f>'T7-10'!B$18</f>
        <v>27</v>
      </c>
      <c r="AM11" s="38">
        <f>'T7-10'!C$18</f>
        <v>37.85</v>
      </c>
      <c r="AN11" s="38">
        <f>'T7-10'!D$18</f>
        <v>38.9</v>
      </c>
      <c r="AO11" s="47">
        <f>'T7-10'!E$18</f>
        <v>1.05</v>
      </c>
      <c r="AP11" s="42">
        <f>'T7-10'!F$11</f>
        <v>3</v>
      </c>
      <c r="AQ11" s="41">
        <f>'T7-10'!G$11</f>
        <v>56</v>
      </c>
      <c r="AR11" s="41">
        <f>'T7-10'!H$11</f>
        <v>124.6</v>
      </c>
      <c r="AS11" s="45">
        <f>'T7-10'!I$11</f>
        <v>0.37380000000000002</v>
      </c>
      <c r="AT11" s="43" t="str">
        <f>'T7-10'!F$10</f>
        <v>na</v>
      </c>
      <c r="AU11" s="41" t="str">
        <f>'T7-10'!G$10</f>
        <v>na</v>
      </c>
      <c r="AV11" s="41" t="str">
        <f>'T7-10'!H$10</f>
        <v>na</v>
      </c>
      <c r="AW11" s="45" t="str">
        <f>'T7-10'!I$10</f>
        <v>na</v>
      </c>
      <c r="AX11" s="43">
        <f>'T7-10'!F$17</f>
        <v>3</v>
      </c>
      <c r="AY11" s="41">
        <f>'T7-10'!G$17</f>
        <v>102</v>
      </c>
      <c r="AZ11" s="41">
        <f>'T7-10'!H$17</f>
        <v>530</v>
      </c>
      <c r="BA11" s="45">
        <f>'T7-10'!I$17</f>
        <v>1.59</v>
      </c>
      <c r="BB11" s="43">
        <f>'T7-10'!F$16</f>
        <v>13</v>
      </c>
      <c r="BC11" s="41">
        <f>'T7-10'!G$16</f>
        <v>51.77</v>
      </c>
      <c r="BD11" s="41">
        <f>'T7-10'!H$16</f>
        <v>113.1</v>
      </c>
      <c r="BE11" s="45">
        <f>'T7-10'!I$16</f>
        <v>1.47</v>
      </c>
      <c r="BF11" s="43">
        <f>'T7-10'!F$15</f>
        <v>16</v>
      </c>
      <c r="BG11" s="41">
        <f>'T7-10'!G$15</f>
        <v>65</v>
      </c>
      <c r="BH11" s="41">
        <f>'T7-10'!H$15</f>
        <v>181.25</v>
      </c>
      <c r="BI11" s="44">
        <f>'T7-10'!I$15</f>
        <v>2.9</v>
      </c>
    </row>
    <row r="12" spans="1:61">
      <c r="A12" s="52" t="s">
        <v>62</v>
      </c>
      <c r="B12" s="35">
        <f>'T7-10'!L$4</f>
        <v>8</v>
      </c>
      <c r="C12" s="36">
        <f>'T7-10'!M$4</f>
        <v>187.5</v>
      </c>
      <c r="D12" s="36">
        <f>'T7-10'!N$4</f>
        <v>252.5</v>
      </c>
      <c r="E12" s="51">
        <f>'T7-10'!O$4</f>
        <v>2.02</v>
      </c>
      <c r="F12" s="37">
        <f>'T7-10'!L$5</f>
        <v>16</v>
      </c>
      <c r="G12" s="36">
        <f>'T7-10'!M$5</f>
        <v>143.56</v>
      </c>
      <c r="H12" s="36">
        <f>'T7-10'!N$5</f>
        <v>171.88</v>
      </c>
      <c r="I12" s="51">
        <f>'T7-10'!O$5</f>
        <v>2.75</v>
      </c>
      <c r="J12" s="37">
        <f>'T7-10'!L$10</f>
        <v>10</v>
      </c>
      <c r="K12" s="36">
        <f>'T7-10'!M$10</f>
        <v>152.1</v>
      </c>
      <c r="L12" s="36">
        <f>'T7-10'!N$10</f>
        <v>162</v>
      </c>
      <c r="M12" s="51">
        <f>'T7-10'!O$10</f>
        <v>1.62</v>
      </c>
      <c r="N12" s="37">
        <f>'T7-10'!L$11</f>
        <v>18</v>
      </c>
      <c r="O12" s="36">
        <f>'T7-10'!M$11</f>
        <v>169.78</v>
      </c>
      <c r="P12" s="36">
        <f>'T7-10'!N$11</f>
        <v>162.22</v>
      </c>
      <c r="Q12" s="51">
        <f>'T7-10'!O$11</f>
        <v>2.92</v>
      </c>
      <c r="R12" s="36">
        <f>'T7-10'!L$12</f>
        <v>30</v>
      </c>
      <c r="S12" s="36">
        <f>'T7-10'!M$12</f>
        <v>148.9</v>
      </c>
      <c r="T12" s="36">
        <f>'T7-10'!N$12</f>
        <v>162.66999999999999</v>
      </c>
      <c r="U12" s="50">
        <f>'T7-10'!O$12</f>
        <v>4.88</v>
      </c>
      <c r="V12" s="39">
        <f>'T7-10'!P$5</f>
        <v>10</v>
      </c>
      <c r="W12" s="38">
        <f>'T7-10'!Q$5</f>
        <v>27.9</v>
      </c>
      <c r="X12" s="38">
        <f>'T7-10'!R$5</f>
        <v>25</v>
      </c>
      <c r="Y12" s="48">
        <f>'T7-10'!S$5</f>
        <v>0.25</v>
      </c>
      <c r="Z12" s="40">
        <f>'T7-10'!P$4</f>
        <v>16</v>
      </c>
      <c r="AA12" s="38">
        <f>'T7-10'!Q$4</f>
        <v>33.81</v>
      </c>
      <c r="AB12" s="38">
        <f>'T7-10'!R$4</f>
        <v>43.13</v>
      </c>
      <c r="AC12" s="48">
        <f>'T7-10'!S$4</f>
        <v>0.69</v>
      </c>
      <c r="AD12" s="40">
        <f>'T7-10'!L$16</f>
        <v>7</v>
      </c>
      <c r="AE12" s="38">
        <f>'T7-10'!M$16</f>
        <v>39.14</v>
      </c>
      <c r="AF12" s="38">
        <f>'T7-10'!N$16</f>
        <v>52.86</v>
      </c>
      <c r="AG12" s="48">
        <f>'T7-10'!O$16</f>
        <v>0.37</v>
      </c>
      <c r="AH12" s="40">
        <f>'T7-10'!L$17</f>
        <v>13</v>
      </c>
      <c r="AI12" s="38">
        <f>'T7-10'!M$17</f>
        <v>32.75</v>
      </c>
      <c r="AJ12" s="38">
        <f>'T7-10'!N$17</f>
        <v>38.46</v>
      </c>
      <c r="AK12" s="48">
        <f>'T7-10'!O$17</f>
        <v>0.5</v>
      </c>
      <c r="AL12" s="38">
        <f>'T7-10'!L$18</f>
        <v>21</v>
      </c>
      <c r="AM12" s="38">
        <f>'T7-10'!M$18</f>
        <v>32.86</v>
      </c>
      <c r="AN12" s="38">
        <f>'T7-10'!N$18</f>
        <v>40.950000000000003</v>
      </c>
      <c r="AO12" s="47">
        <f>'T7-10'!O$18</f>
        <v>0.86</v>
      </c>
      <c r="AP12" s="42">
        <f>'T7-10'!P$11</f>
        <v>9</v>
      </c>
      <c r="AQ12" s="41">
        <f>'T7-10'!Q$11</f>
        <v>67.11</v>
      </c>
      <c r="AR12" s="41">
        <f>'T7-10'!R$11</f>
        <v>187.78</v>
      </c>
      <c r="AS12" s="45">
        <f>'T7-10'!S$11</f>
        <v>1.69</v>
      </c>
      <c r="AT12" s="43">
        <f>'T7-10'!P$10</f>
        <v>14</v>
      </c>
      <c r="AU12" s="41">
        <f>'T7-10'!Q$10</f>
        <v>66.64</v>
      </c>
      <c r="AV12" s="41">
        <f>'T7-10'!R$10</f>
        <v>152.13999999999999</v>
      </c>
      <c r="AW12" s="45">
        <f>'T7-10'!S$10</f>
        <v>2.13</v>
      </c>
      <c r="AX12" s="43">
        <f>'T7-10'!P$17</f>
        <v>8</v>
      </c>
      <c r="AY12" s="41">
        <f>'T7-10'!Q$17</f>
        <v>79.06</v>
      </c>
      <c r="AZ12" s="41">
        <f>'T7-10'!R$17</f>
        <v>236.25</v>
      </c>
      <c r="BA12" s="45">
        <f>'T7-10'!S$17</f>
        <v>1.89</v>
      </c>
      <c r="BB12" s="43">
        <f>'T7-10'!P$16</f>
        <v>16</v>
      </c>
      <c r="BC12" s="41">
        <f>'T7-10'!Q$16</f>
        <v>60.88</v>
      </c>
      <c r="BD12" s="41">
        <f>'T7-10'!R$16</f>
        <v>173.75</v>
      </c>
      <c r="BE12" s="45">
        <f>'T7-10'!S$16</f>
        <v>2.78</v>
      </c>
      <c r="BF12" s="43">
        <f>'T7-10'!P$15</f>
        <v>20</v>
      </c>
      <c r="BG12" s="41">
        <f>'T7-10'!Q$15</f>
        <v>3.59</v>
      </c>
      <c r="BH12" s="41">
        <f>'T7-10'!R$15</f>
        <v>105</v>
      </c>
      <c r="BI12" s="44">
        <f>'T7-10'!S$15</f>
        <v>2.1</v>
      </c>
    </row>
    <row r="13" spans="1:61">
      <c r="A13" s="52" t="s">
        <v>65</v>
      </c>
      <c r="B13" s="35" t="str">
        <f>'W9-12'!B$4</f>
        <v>na</v>
      </c>
      <c r="C13" s="36" t="str">
        <f>'W9-12'!C$4</f>
        <v>na</v>
      </c>
      <c r="D13" s="36" t="str">
        <f>'W9-12'!D$4</f>
        <v>na</v>
      </c>
      <c r="E13" s="51" t="str">
        <f>'W9-12'!E$4</f>
        <v>na</v>
      </c>
      <c r="F13" s="37" t="str">
        <f>'W9-12'!B$5</f>
        <v>na</v>
      </c>
      <c r="G13" s="36" t="str">
        <f>'W9-12'!C$5</f>
        <v>na</v>
      </c>
      <c r="H13" s="36" t="str">
        <f>'W9-12'!D$5</f>
        <v>na</v>
      </c>
      <c r="I13" s="51" t="str">
        <f>'W9-12'!E$5</f>
        <v>na</v>
      </c>
      <c r="J13" s="37" t="str">
        <f>'W9-12'!B$10</f>
        <v>na</v>
      </c>
      <c r="K13" s="36" t="str">
        <f>'W9-12'!C$10</f>
        <v>na</v>
      </c>
      <c r="L13" s="36" t="str">
        <f>'W9-12'!D$10</f>
        <v>na</v>
      </c>
      <c r="M13" s="51" t="str">
        <f>'W9-12'!E$10</f>
        <v>na</v>
      </c>
      <c r="N13" s="37" t="str">
        <f>'W9-12'!B$11</f>
        <v>na</v>
      </c>
      <c r="O13" s="36" t="str">
        <f>'W9-12'!C$11</f>
        <v>na</v>
      </c>
      <c r="P13" s="36" t="str">
        <f>'W9-12'!D$11</f>
        <v>na</v>
      </c>
      <c r="Q13" s="51" t="str">
        <f>'W9-12'!E$11</f>
        <v>na</v>
      </c>
      <c r="R13" s="36" t="str">
        <f>'W9-12'!B$12</f>
        <v>na</v>
      </c>
      <c r="S13" s="36" t="str">
        <f>'W9-12'!C$12</f>
        <v>na</v>
      </c>
      <c r="T13" s="36" t="str">
        <f>'W9-12'!D$12</f>
        <v>na</v>
      </c>
      <c r="U13" s="50" t="str">
        <f>'W9-12'!E$12</f>
        <v>na</v>
      </c>
      <c r="V13" s="39" t="str">
        <f>'W9-12'!F$5</f>
        <v>na</v>
      </c>
      <c r="W13" s="38" t="str">
        <f>'W9-12'!G$5</f>
        <v>na</v>
      </c>
      <c r="X13" s="38" t="str">
        <f>'W9-12'!H$5</f>
        <v>na</v>
      </c>
      <c r="Y13" s="48" t="str">
        <f>'W9-12'!I$5</f>
        <v>na</v>
      </c>
      <c r="Z13" s="40" t="str">
        <f>'W9-12'!F$4</f>
        <v>na</v>
      </c>
      <c r="AA13" s="38" t="str">
        <f>'W9-12'!G$4</f>
        <v>na</v>
      </c>
      <c r="AB13" s="38" t="str">
        <f>'W9-12'!H$4</f>
        <v>na</v>
      </c>
      <c r="AC13" s="48" t="str">
        <f>'W9-12'!I$4</f>
        <v>na</v>
      </c>
      <c r="AD13" s="40" t="str">
        <f>'W9-12'!B$16</f>
        <v>na</v>
      </c>
      <c r="AE13" s="38" t="str">
        <f>'W9-12'!C$16</f>
        <v>na</v>
      </c>
      <c r="AF13" s="38" t="str">
        <f>'W9-12'!D$16</f>
        <v>na</v>
      </c>
      <c r="AG13" s="48" t="str">
        <f>'W9-12'!E$16</f>
        <v>na</v>
      </c>
      <c r="AH13" s="40" t="str">
        <f>'W9-12'!B$17</f>
        <v>na</v>
      </c>
      <c r="AI13" s="38" t="str">
        <f>'W9-12'!C$17</f>
        <v>na</v>
      </c>
      <c r="AJ13" s="38" t="str">
        <f>'W9-12'!D$17</f>
        <v>na</v>
      </c>
      <c r="AK13" s="48" t="str">
        <f>'W9-12'!E$17</f>
        <v>na</v>
      </c>
      <c r="AL13" s="38" t="str">
        <f>'W9-12'!B$18</f>
        <v>na</v>
      </c>
      <c r="AM13" s="38" t="str">
        <f>'W9-12'!C$18</f>
        <v>na</v>
      </c>
      <c r="AN13" s="38" t="str">
        <f>'W9-12'!D$18</f>
        <v>na</v>
      </c>
      <c r="AO13" s="47" t="str">
        <f>'W9-12'!E$18</f>
        <v>na</v>
      </c>
      <c r="AP13" s="42" t="str">
        <f>'W9-12'!F$11</f>
        <v>na</v>
      </c>
      <c r="AQ13" s="41" t="str">
        <f>'W9-12'!G$11</f>
        <v>na</v>
      </c>
      <c r="AR13" s="41" t="str">
        <f>'W9-12'!H$11</f>
        <v>na</v>
      </c>
      <c r="AS13" s="45" t="str">
        <f>'W9-12'!I$11</f>
        <v>na</v>
      </c>
      <c r="AT13" s="43" t="str">
        <f>'W9-12'!F$10</f>
        <v>na</v>
      </c>
      <c r="AU13" s="41" t="str">
        <f>'W9-12'!G$10</f>
        <v>na</v>
      </c>
      <c r="AV13" s="41" t="str">
        <f>'W9-12'!H$10</f>
        <v>na</v>
      </c>
      <c r="AW13" s="45" t="str">
        <f>'W9-12'!I$10</f>
        <v>na</v>
      </c>
      <c r="AX13" s="43" t="str">
        <f>'W9-12'!F$17</f>
        <v>na</v>
      </c>
      <c r="AY13" s="41" t="str">
        <f>'W9-12'!G$17</f>
        <v>na</v>
      </c>
      <c r="AZ13" s="41" t="str">
        <f>'W9-12'!H$17</f>
        <v>na</v>
      </c>
      <c r="BA13" s="45" t="str">
        <f>'W9-12'!I$17</f>
        <v>na</v>
      </c>
      <c r="BB13" s="43" t="str">
        <f>'W9-12'!F$16</f>
        <v>na</v>
      </c>
      <c r="BC13" s="41" t="str">
        <f>'W9-12'!G$16</f>
        <v>na</v>
      </c>
      <c r="BD13" s="41" t="str">
        <f>'W9-12'!H$16</f>
        <v>na</v>
      </c>
      <c r="BE13" s="45" t="str">
        <f>'W9-12'!I$16</f>
        <v>na</v>
      </c>
      <c r="BF13" s="43" t="str">
        <f>'W9-12'!F$15</f>
        <v>na</v>
      </c>
      <c r="BG13" s="41" t="str">
        <f>'W9-12'!G$15</f>
        <v>na</v>
      </c>
      <c r="BH13" s="41" t="str">
        <f>'W9-12'!H$15</f>
        <v>na</v>
      </c>
      <c r="BI13" s="44" t="str">
        <f>'W9-12'!I$15</f>
        <v>na</v>
      </c>
    </row>
    <row r="14" spans="1:61">
      <c r="A14" s="52" t="s">
        <v>66</v>
      </c>
      <c r="B14" s="35">
        <f>'W9-12'!L$4</f>
        <v>10</v>
      </c>
      <c r="C14" s="36">
        <f>'W9-12'!M$4</f>
        <v>188.5</v>
      </c>
      <c r="D14" s="36">
        <f>'W9-12'!N$4</f>
        <v>271</v>
      </c>
      <c r="E14" s="51">
        <f>'W9-12'!O$4</f>
        <v>2.71</v>
      </c>
      <c r="F14" s="37">
        <f>'W9-12'!L$5</f>
        <v>19</v>
      </c>
      <c r="G14" s="36">
        <f>'W9-12'!M$5</f>
        <v>161.84</v>
      </c>
      <c r="H14" s="36">
        <f>'W9-12'!N$5</f>
        <v>183.68</v>
      </c>
      <c r="I14" s="51">
        <f>'W9-12'!O$5</f>
        <v>3.49</v>
      </c>
      <c r="J14" s="37">
        <f>'W9-12'!L$10</f>
        <v>10</v>
      </c>
      <c r="K14" s="36">
        <f>'W9-12'!M$10</f>
        <v>180.5</v>
      </c>
      <c r="L14" s="36">
        <f>'W9-12'!N$10</f>
        <v>240</v>
      </c>
      <c r="M14" s="51">
        <f>'W9-12'!O$10</f>
        <v>2.4</v>
      </c>
      <c r="N14" s="37">
        <f>'W9-12'!L$11</f>
        <v>19</v>
      </c>
      <c r="O14" s="36">
        <f>'W9-12'!M$11</f>
        <v>164.5</v>
      </c>
      <c r="P14" s="36">
        <f>'W9-12'!N$11</f>
        <v>389.47</v>
      </c>
      <c r="Q14" s="51">
        <f>'W9-12'!O$11</f>
        <v>7.4</v>
      </c>
      <c r="R14" s="36">
        <f>'W9-12'!L$12</f>
        <v>25</v>
      </c>
      <c r="S14" s="36">
        <f>'W9-12'!M$12</f>
        <v>154.47999999999999</v>
      </c>
      <c r="T14" s="36">
        <f>'W9-12'!N$12</f>
        <v>182</v>
      </c>
      <c r="U14" s="50">
        <f>'W9-12'!O$12</f>
        <v>4.55</v>
      </c>
      <c r="V14" s="39">
        <f>'W9-12'!P$5</f>
        <v>4</v>
      </c>
      <c r="W14" s="38">
        <f>'W9-12'!Q$5</f>
        <v>30</v>
      </c>
      <c r="X14" s="38">
        <f>'W9-12'!R$5</f>
        <v>57.5</v>
      </c>
      <c r="Y14" s="48">
        <f>'W9-12'!S$5</f>
        <v>0.23</v>
      </c>
      <c r="Z14" s="40">
        <f>'W9-12'!P$4</f>
        <v>13</v>
      </c>
      <c r="AA14" s="38">
        <f>'W9-12'!Q$4</f>
        <v>33.768999999999998</v>
      </c>
      <c r="AB14" s="38">
        <f>'W9-12'!R$4</f>
        <v>39.229999999999997</v>
      </c>
      <c r="AC14" s="48">
        <f>'W9-12'!S$4</f>
        <v>0.51</v>
      </c>
      <c r="AD14" s="40">
        <f>'W9-12'!L$16</f>
        <v>7</v>
      </c>
      <c r="AE14" s="38">
        <f>'W9-12'!M$16</f>
        <v>39.6</v>
      </c>
      <c r="AF14" s="38">
        <f>'W9-12'!N$16</f>
        <v>14</v>
      </c>
      <c r="AG14" s="48">
        <f>'W9-12'!O$16</f>
        <v>0.1</v>
      </c>
      <c r="AH14" s="40">
        <f>'W9-12'!L$17</f>
        <v>8</v>
      </c>
      <c r="AI14" s="38">
        <f>'W9-12'!M$17</f>
        <v>42.25</v>
      </c>
      <c r="AJ14" s="38">
        <f>'W9-12'!N$17</f>
        <v>57.5</v>
      </c>
      <c r="AK14" s="48">
        <f>'W9-12'!O$17</f>
        <v>0.46</v>
      </c>
      <c r="AL14" s="38" t="str">
        <f>'W9-12'!L$18</f>
        <v>na</v>
      </c>
      <c r="AM14" s="38" t="str">
        <f>'W9-12'!M$18</f>
        <v>na</v>
      </c>
      <c r="AN14" s="38" t="str">
        <f>'W9-12'!N$18</f>
        <v>na</v>
      </c>
      <c r="AO14" s="47" t="str">
        <f>'W9-12'!O$18</f>
        <v>na</v>
      </c>
      <c r="AP14" s="42">
        <f>'W9-12'!P$11</f>
        <v>5</v>
      </c>
      <c r="AQ14" s="41">
        <f>'W9-12'!Q$11</f>
        <v>76.7</v>
      </c>
      <c r="AR14" s="41">
        <f>'W9-12'!R$11</f>
        <v>190</v>
      </c>
      <c r="AS14" s="45">
        <f>'W9-12'!S$11</f>
        <v>0.95</v>
      </c>
      <c r="AT14" s="43">
        <f>'W9-12'!P$10</f>
        <v>14</v>
      </c>
      <c r="AU14" s="41">
        <f>'W9-12'!Q$10</f>
        <v>46.57</v>
      </c>
      <c r="AV14" s="41">
        <f>'W9-12'!R$10</f>
        <v>112.857</v>
      </c>
      <c r="AW14" s="45">
        <f>'W9-12'!S$10</f>
        <v>1.58</v>
      </c>
      <c r="AX14" s="43">
        <f>'W9-12'!P$17</f>
        <v>10</v>
      </c>
      <c r="AY14" s="41">
        <f>'W9-12'!Q$17</f>
        <v>41.7</v>
      </c>
      <c r="AZ14" s="41">
        <f>'W9-12'!R$17</f>
        <v>45</v>
      </c>
      <c r="BA14" s="45">
        <f>'W9-12'!S$17</f>
        <v>0.45</v>
      </c>
      <c r="BB14" s="43">
        <f>'W9-12'!P$16</f>
        <v>17</v>
      </c>
      <c r="BC14" s="41">
        <f>'W9-12'!Q$16</f>
        <v>48.5</v>
      </c>
      <c r="BD14" s="41">
        <f>'W9-12'!R$16</f>
        <v>55</v>
      </c>
      <c r="BE14" s="45">
        <f>'W9-12'!S$16</f>
        <v>0.93</v>
      </c>
      <c r="BF14" s="43">
        <f>'W9-12'!P$15</f>
        <v>20</v>
      </c>
      <c r="BG14" s="41">
        <f>'W9-12'!Q$15</f>
        <v>66.724999999999994</v>
      </c>
      <c r="BH14" s="41">
        <f>'W9-12'!R$15</f>
        <v>154.5</v>
      </c>
      <c r="BI14" s="44">
        <f>'W9-12'!S$15</f>
        <v>3.09</v>
      </c>
    </row>
    <row r="15" spans="1:61">
      <c r="A15" s="52" t="s">
        <v>69</v>
      </c>
      <c r="B15" s="35" t="str">
        <f>'W2-5'!B$4</f>
        <v>na</v>
      </c>
      <c r="C15" s="36" t="str">
        <f>'W2-5'!C$4</f>
        <v>na</v>
      </c>
      <c r="D15" s="36" t="str">
        <f>'W2-5'!D$4</f>
        <v>na</v>
      </c>
      <c r="E15" s="51" t="str">
        <f>'W2-5'!E$4</f>
        <v>na</v>
      </c>
      <c r="F15" s="37" t="str">
        <f>'W2-5'!B$5</f>
        <v>na</v>
      </c>
      <c r="G15" s="36" t="str">
        <f>'W2-5'!C$5</f>
        <v>na</v>
      </c>
      <c r="H15" s="36" t="str">
        <f>'W2-5'!D$5</f>
        <v>na</v>
      </c>
      <c r="I15" s="51" t="str">
        <f>'W2-5'!E$5</f>
        <v>na</v>
      </c>
      <c r="J15" s="37" t="str">
        <f>'W2-5'!B$10</f>
        <v>na</v>
      </c>
      <c r="K15" s="36" t="str">
        <f>'W2-5'!C$10</f>
        <v>na</v>
      </c>
      <c r="L15" s="36" t="str">
        <f>'W2-5'!D$10</f>
        <v>na</v>
      </c>
      <c r="M15" s="51" t="str">
        <f>'W2-5'!E$10</f>
        <v>na</v>
      </c>
      <c r="N15" s="37" t="str">
        <f>'W2-5'!B$11</f>
        <v>na</v>
      </c>
      <c r="O15" s="36" t="str">
        <f>'W2-5'!C$11</f>
        <v>na</v>
      </c>
      <c r="P15" s="36" t="str">
        <f>'W2-5'!D$11</f>
        <v>na</v>
      </c>
      <c r="Q15" s="51" t="str">
        <f>'W2-5'!E$11</f>
        <v>na</v>
      </c>
      <c r="R15" s="36" t="str">
        <f>'W2-5'!B$12</f>
        <v>na</v>
      </c>
      <c r="S15" s="36" t="str">
        <f>'W2-5'!C$12</f>
        <v>na</v>
      </c>
      <c r="T15" s="36" t="str">
        <f>'W2-5'!D$12</f>
        <v>na</v>
      </c>
      <c r="U15" s="50" t="str">
        <f>'W2-5'!E$12</f>
        <v>na</v>
      </c>
      <c r="V15" s="39" t="str">
        <f>'W2-5'!F$5</f>
        <v>na</v>
      </c>
      <c r="W15" s="38" t="str">
        <f>'W2-5'!G$5</f>
        <v>na</v>
      </c>
      <c r="X15" s="38" t="str">
        <f>'W2-5'!H$5</f>
        <v>na</v>
      </c>
      <c r="Y15" s="48" t="str">
        <f>'W2-5'!I$5</f>
        <v>na</v>
      </c>
      <c r="Z15" s="40" t="str">
        <f>'W2-5'!F$4</f>
        <v>na</v>
      </c>
      <c r="AA15" s="38" t="str">
        <f>'W2-5'!G$4</f>
        <v>na</v>
      </c>
      <c r="AB15" s="38" t="str">
        <f>'W2-5'!H$4</f>
        <v>na</v>
      </c>
      <c r="AC15" s="48" t="str">
        <f>'W2-5'!I$4</f>
        <v>na</v>
      </c>
      <c r="AD15" s="40" t="str">
        <f>'W2-5'!B$16</f>
        <v>na</v>
      </c>
      <c r="AE15" s="38" t="str">
        <f>'W2-5'!C$16</f>
        <v>na</v>
      </c>
      <c r="AF15" s="38" t="str">
        <f>'W2-5'!D$16</f>
        <v>na</v>
      </c>
      <c r="AG15" s="48" t="str">
        <f>'W2-5'!E$16</f>
        <v>na</v>
      </c>
      <c r="AH15" s="40" t="str">
        <f>'W2-5'!B$17</f>
        <v>na</v>
      </c>
      <c r="AI15" s="38" t="str">
        <f>'W2-5'!C$17</f>
        <v>na</v>
      </c>
      <c r="AJ15" s="38" t="str">
        <f>'W2-5'!D$17</f>
        <v>na</v>
      </c>
      <c r="AK15" s="48" t="str">
        <f>'W2-5'!E$17</f>
        <v>na</v>
      </c>
      <c r="AL15" s="38" t="str">
        <f>'W2-5'!B$18</f>
        <v>na</v>
      </c>
      <c r="AM15" s="38" t="str">
        <f>'W2-5'!C$18</f>
        <v>na</v>
      </c>
      <c r="AN15" s="38" t="str">
        <f>'W2-5'!D$18</f>
        <v>na</v>
      </c>
      <c r="AO15" s="47" t="str">
        <f>'W2-5'!E$18</f>
        <v>na</v>
      </c>
      <c r="AP15" s="42" t="str">
        <f>'W2-5'!F$11</f>
        <v>na</v>
      </c>
      <c r="AQ15" s="41" t="str">
        <f>'W2-5'!G$11</f>
        <v>na</v>
      </c>
      <c r="AR15" s="41" t="str">
        <f>'W2-5'!H$11</f>
        <v>na</v>
      </c>
      <c r="AS15" s="45" t="str">
        <f>'W2-5'!I$11</f>
        <v>na</v>
      </c>
      <c r="AT15" s="43" t="str">
        <f>'W2-5'!F$10</f>
        <v>na</v>
      </c>
      <c r="AU15" s="41" t="str">
        <f>'W2-5'!G$10</f>
        <v>na</v>
      </c>
      <c r="AV15" s="41" t="str">
        <f>'W2-5'!H$10</f>
        <v>na</v>
      </c>
      <c r="AW15" s="45" t="str">
        <f>'W2-5'!I$10</f>
        <v>na</v>
      </c>
      <c r="AX15" s="43" t="str">
        <f>'W2-5'!F$17</f>
        <v>na</v>
      </c>
      <c r="AY15" s="41" t="str">
        <f>'W2-5'!G$17</f>
        <v>na</v>
      </c>
      <c r="AZ15" s="41" t="str">
        <f>'W2-5'!H$17</f>
        <v>na</v>
      </c>
      <c r="BA15" s="45" t="str">
        <f>'W2-5'!I$17</f>
        <v>na</v>
      </c>
      <c r="BB15" s="43" t="str">
        <f>'W2-5'!F$16</f>
        <v>na</v>
      </c>
      <c r="BC15" s="41" t="str">
        <f>'W2-5'!G$16</f>
        <v>na</v>
      </c>
      <c r="BD15" s="41" t="str">
        <f>'W2-5'!H$16</f>
        <v>na</v>
      </c>
      <c r="BE15" s="45" t="str">
        <f>'W2-5'!I$16</f>
        <v>na</v>
      </c>
      <c r="BF15" s="43" t="str">
        <f>'W2-5'!F$15</f>
        <v>na</v>
      </c>
      <c r="BG15" s="41" t="str">
        <f>'W2-5'!G$15</f>
        <v>na</v>
      </c>
      <c r="BH15" s="41" t="str">
        <f>'W2-5'!H$15</f>
        <v>na</v>
      </c>
      <c r="BI15" s="44" t="str">
        <f>'W2-5'!I$15</f>
        <v>na</v>
      </c>
    </row>
    <row r="16" spans="1:61">
      <c r="A16" s="52" t="s">
        <v>70</v>
      </c>
      <c r="B16" s="35">
        <f>'W2-5'!L$4</f>
        <v>10</v>
      </c>
      <c r="C16" s="36">
        <f>'W2-5'!M$4</f>
        <v>133.5</v>
      </c>
      <c r="D16" s="36">
        <f>'W2-5'!N$4</f>
        <v>180</v>
      </c>
      <c r="E16" s="51">
        <f>'W2-5'!O$4</f>
        <v>1.8</v>
      </c>
      <c r="F16" s="37">
        <f>'W2-5'!L$5</f>
        <v>20</v>
      </c>
      <c r="G16" s="36">
        <f>'W2-5'!M$5</f>
        <v>147.6</v>
      </c>
      <c r="H16" s="36">
        <f>'W2-5'!N$5</f>
        <v>185.5</v>
      </c>
      <c r="I16" s="51">
        <f>'W2-5'!O$5</f>
        <v>3.71</v>
      </c>
      <c r="J16" s="37">
        <f>'W2-5'!L$10</f>
        <v>10</v>
      </c>
      <c r="K16" s="36">
        <f>'W2-5'!M$10</f>
        <v>153.6</v>
      </c>
      <c r="L16" s="36">
        <f>'W2-5'!N$10</f>
        <v>157</v>
      </c>
      <c r="M16" s="51">
        <f>'W2-5'!O$10</f>
        <v>1.57</v>
      </c>
      <c r="N16" s="37">
        <f>'W2-5'!L$11</f>
        <v>18</v>
      </c>
      <c r="O16" s="36">
        <f>'W2-5'!M$11</f>
        <v>146.72</v>
      </c>
      <c r="P16" s="36">
        <f>'W2-5'!N$11</f>
        <v>160.55000000000001</v>
      </c>
      <c r="Q16" s="51">
        <f>'W2-5'!O$11</f>
        <v>2.89</v>
      </c>
      <c r="R16" s="36">
        <f>'W2-5'!L$12</f>
        <v>30</v>
      </c>
      <c r="S16" s="36">
        <f>'W2-5'!M$12</f>
        <v>162</v>
      </c>
      <c r="T16" s="36">
        <f>'W2-5'!N$12</f>
        <v>163.33000000000001</v>
      </c>
      <c r="U16" s="50">
        <f>'W2-5'!O$12</f>
        <v>4.9000000000000004</v>
      </c>
      <c r="V16" s="39">
        <f>'W2-5'!P$5</f>
        <v>7</v>
      </c>
      <c r="W16" s="38">
        <f>'W2-5'!Q$5</f>
        <v>37.5</v>
      </c>
      <c r="X16" s="38">
        <f>'W2-5'!R$5</f>
        <v>34.29</v>
      </c>
      <c r="Y16" s="48">
        <f>'W2-5'!S$5</f>
        <v>0.24</v>
      </c>
      <c r="Z16" s="40">
        <f>'W2-5'!P$4</f>
        <v>13</v>
      </c>
      <c r="AA16" s="38">
        <f>'W2-5'!Q$4</f>
        <v>37</v>
      </c>
      <c r="AB16" s="38">
        <f>'W2-5'!R$4</f>
        <v>46</v>
      </c>
      <c r="AC16" s="48">
        <f>'W2-5'!S$4</f>
        <v>0.6</v>
      </c>
      <c r="AD16" s="40" t="str">
        <f>'W2-5'!L$16</f>
        <v>na</v>
      </c>
      <c r="AE16" s="38" t="str">
        <f>'W2-5'!M$16</f>
        <v>na</v>
      </c>
      <c r="AF16" s="38" t="str">
        <f>'W2-5'!N$16</f>
        <v>na</v>
      </c>
      <c r="AG16" s="48" t="str">
        <f>'W2-5'!O$16</f>
        <v>na</v>
      </c>
      <c r="AH16" s="90">
        <f>'W2-5'!L$17</f>
        <v>8</v>
      </c>
      <c r="AI16" s="38">
        <f>'W2-5'!M$17</f>
        <v>69.25</v>
      </c>
      <c r="AJ16" s="38">
        <f>'W2-5'!N$17</f>
        <v>126.25</v>
      </c>
      <c r="AK16" s="48">
        <f>'W2-5'!O$17</f>
        <v>1.01</v>
      </c>
      <c r="AL16" s="38">
        <f>'W2-5'!L$18</f>
        <v>17</v>
      </c>
      <c r="AM16" s="38">
        <f>'W2-5'!M$18</f>
        <v>33.35</v>
      </c>
      <c r="AN16" s="38">
        <f>'W2-5'!N$18</f>
        <v>40</v>
      </c>
      <c r="AO16" s="47">
        <f>'W2-5'!O$18</f>
        <v>0.68</v>
      </c>
      <c r="AP16" s="42">
        <f>'W2-5'!P$11</f>
        <v>10</v>
      </c>
      <c r="AQ16" s="41">
        <f>'W2-5'!Q$11</f>
        <v>50.93</v>
      </c>
      <c r="AR16" s="41">
        <f>'W2-5'!R$11</f>
        <v>78</v>
      </c>
      <c r="AS16" s="45">
        <f>'W2-5'!S$11</f>
        <v>0.78</v>
      </c>
      <c r="AT16" s="43">
        <f>'W2-5'!P$10</f>
        <v>12</v>
      </c>
      <c r="AU16" s="41">
        <f>'W2-5'!Q$10</f>
        <v>38.25</v>
      </c>
      <c r="AV16" s="41">
        <f>'W2-5'!R$10</f>
        <v>102.5</v>
      </c>
      <c r="AW16" s="45">
        <f>'W2-5'!S$10</f>
        <v>1.23</v>
      </c>
      <c r="AX16" s="43">
        <f>'W2-5'!P$17</f>
        <v>7</v>
      </c>
      <c r="AY16" s="41">
        <f>'W2-5'!Q$17</f>
        <v>35</v>
      </c>
      <c r="AZ16" s="41">
        <f>'W2-5'!R$17</f>
        <v>24.3</v>
      </c>
      <c r="BA16" s="45">
        <f>'W2-5'!S$17</f>
        <v>0.17</v>
      </c>
      <c r="BB16" s="43">
        <f>'W2-5'!P$16</f>
        <v>14</v>
      </c>
      <c r="BC16" s="41">
        <f>'W2-5'!Q$16</f>
        <v>68</v>
      </c>
      <c r="BD16" s="41">
        <f>'W2-5'!R$16</f>
        <v>85.7</v>
      </c>
      <c r="BE16" s="45">
        <f>'W2-5'!S$16</f>
        <v>1.2</v>
      </c>
      <c r="BF16" s="43">
        <f>'W2-5'!P$15</f>
        <v>22</v>
      </c>
      <c r="BG16" s="41">
        <f>'W2-5'!Q$15</f>
        <v>52.4</v>
      </c>
      <c r="BH16" s="41">
        <f>'W2-5'!R$15</f>
        <v>82.3</v>
      </c>
      <c r="BI16" s="44">
        <f>'W2-5'!S$15</f>
        <v>1.81</v>
      </c>
    </row>
    <row r="17" spans="1:61">
      <c r="A17" s="52" t="s">
        <v>73</v>
      </c>
      <c r="B17" s="35">
        <f>'W7-10'!B$4</f>
        <v>10</v>
      </c>
      <c r="C17" s="36">
        <f>'W7-10'!C$4</f>
        <v>180.7</v>
      </c>
      <c r="D17" s="36">
        <f>'W7-10'!D$4</f>
        <v>220</v>
      </c>
      <c r="E17" s="51">
        <f>'W7-10'!E$4</f>
        <v>2.2000000000000002</v>
      </c>
      <c r="F17" s="90">
        <f>'W7-10'!B$5</f>
        <v>30</v>
      </c>
      <c r="G17" s="36">
        <f>'W7-10'!C$5</f>
        <v>162.83000000000001</v>
      </c>
      <c r="H17" s="36">
        <f>'W7-10'!D$5</f>
        <v>120.67</v>
      </c>
      <c r="I17" s="51">
        <f>'W7-10'!E$5</f>
        <v>3.62</v>
      </c>
      <c r="J17" s="37">
        <f>'W7-10'!B$10</f>
        <v>10</v>
      </c>
      <c r="K17" s="36">
        <f>'W7-10'!C$10</f>
        <v>167.5</v>
      </c>
      <c r="L17" s="36">
        <f>'W7-10'!D$10</f>
        <v>148</v>
      </c>
      <c r="M17" s="51">
        <f>'W7-10'!E$10</f>
        <v>1.48</v>
      </c>
      <c r="N17" s="37">
        <f>'W7-10'!B$11</f>
        <v>18</v>
      </c>
      <c r="O17" s="36">
        <f>'W7-10'!C$11</f>
        <v>175.5</v>
      </c>
      <c r="P17" s="36">
        <f>'W7-10'!D$11</f>
        <v>177.7</v>
      </c>
      <c r="Q17" s="51">
        <f>'W7-10'!E$11</f>
        <v>3.2</v>
      </c>
      <c r="R17" s="36">
        <f>'W7-10'!B$12</f>
        <v>30</v>
      </c>
      <c r="S17" s="36">
        <f>'W7-10'!C$12</f>
        <v>166.03</v>
      </c>
      <c r="T17" s="36">
        <f>'W7-10'!D$12</f>
        <v>179</v>
      </c>
      <c r="U17" s="50">
        <f>'W7-10'!E$12</f>
        <v>5.37</v>
      </c>
      <c r="V17" s="39">
        <f>'W7-10'!F$5</f>
        <v>7</v>
      </c>
      <c r="W17" s="38">
        <f>'W7-10'!G$5</f>
        <v>28.86</v>
      </c>
      <c r="X17" s="38">
        <f>'W7-10'!H$5</f>
        <v>44.29</v>
      </c>
      <c r="Y17" s="48">
        <f>'W7-10'!I$5</f>
        <v>0.31</v>
      </c>
      <c r="Z17" s="40">
        <f>'W7-10'!F$4</f>
        <v>12</v>
      </c>
      <c r="AA17" s="38">
        <f>'W7-10'!G$4</f>
        <v>36</v>
      </c>
      <c r="AB17" s="38">
        <f>'W7-10'!H$4</f>
        <v>42.5</v>
      </c>
      <c r="AC17" s="48">
        <f>'W7-10'!I$4</f>
        <v>0.51</v>
      </c>
      <c r="AD17" s="90">
        <f>'W7-10'!B$16</f>
        <v>4</v>
      </c>
      <c r="AE17" s="38">
        <f>'W7-10'!C$16</f>
        <v>62.11</v>
      </c>
      <c r="AF17" s="91">
        <f>'W7-10'!D$16</f>
        <v>164.44</v>
      </c>
      <c r="AG17" s="92">
        <f>'W7-10'!E$16</f>
        <v>2.96</v>
      </c>
      <c r="AH17" s="40">
        <f>'W7-10'!B$17</f>
        <v>17</v>
      </c>
      <c r="AI17" s="38">
        <f>'W7-10'!C$17</f>
        <v>37.765000000000001</v>
      </c>
      <c r="AJ17" s="38">
        <f>'W7-10'!D$17</f>
        <v>40</v>
      </c>
      <c r="AK17" s="48">
        <f>'W7-10'!E$17</f>
        <v>0.68</v>
      </c>
      <c r="AL17" s="91">
        <f>'W7-10'!B$18</f>
        <v>35</v>
      </c>
      <c r="AM17" s="38">
        <f>'W7-10'!C$18</f>
        <v>36.03</v>
      </c>
      <c r="AN17" s="38">
        <f>'W7-10'!D$18</f>
        <v>45.14</v>
      </c>
      <c r="AO17" s="47">
        <f>'W7-10'!E$18</f>
        <v>1.58</v>
      </c>
      <c r="AP17" s="42">
        <f>'W7-10'!F$11</f>
        <v>3</v>
      </c>
      <c r="AQ17" s="41">
        <f>'W7-10'!G$11</f>
        <v>55</v>
      </c>
      <c r="AR17" s="41">
        <f>'W7-10'!H$11</f>
        <v>143.33000000000001</v>
      </c>
      <c r="AS17" s="45">
        <f>'W7-10'!I$11</f>
        <v>0.43</v>
      </c>
      <c r="AT17" s="43">
        <f>'W7-10'!F$10</f>
        <v>15</v>
      </c>
      <c r="AU17" s="41">
        <f>'W7-10'!G$10</f>
        <v>35.659999999999997</v>
      </c>
      <c r="AV17" s="41">
        <f>'W7-10'!H$10</f>
        <v>106.66</v>
      </c>
      <c r="AW17" s="45">
        <f>'W7-10'!I$10</f>
        <v>1.6</v>
      </c>
      <c r="AX17" s="90">
        <f>'W7-10'!F$17</f>
        <v>13</v>
      </c>
      <c r="AY17" s="41">
        <f>'W7-10'!G$17</f>
        <v>59.845999999999997</v>
      </c>
      <c r="AZ17" s="41">
        <f>'W7-10'!H$17</f>
        <v>151.53800000000001</v>
      </c>
      <c r="BA17" s="45">
        <f>'W7-10'!I$17</f>
        <v>1.97</v>
      </c>
      <c r="BB17" s="90">
        <f>'W7-10'!F$16</f>
        <v>18</v>
      </c>
      <c r="BC17" s="41">
        <f>'W7-10'!G$16</f>
        <v>29.86</v>
      </c>
      <c r="BD17" s="91">
        <f>'W7-10'!H$16</f>
        <v>42.86</v>
      </c>
      <c r="BE17" s="92">
        <f>'W7-10'!I$16</f>
        <v>0.3</v>
      </c>
      <c r="BF17" s="43">
        <f>'W7-10'!F$15</f>
        <v>21</v>
      </c>
      <c r="BG17" s="41">
        <f>'W7-10'!G$15</f>
        <v>49.48</v>
      </c>
      <c r="BH17" s="41">
        <f>'W7-10'!H$15</f>
        <v>143.33000000000001</v>
      </c>
      <c r="BI17" s="44">
        <f>'W7-10'!I$15</f>
        <v>3.01</v>
      </c>
    </row>
    <row r="18" spans="1:61">
      <c r="A18" s="52" t="s">
        <v>74</v>
      </c>
      <c r="B18" s="35">
        <f>'W7-10'!L$4</f>
        <v>9</v>
      </c>
      <c r="C18" s="36">
        <f>'W7-10'!M$4</f>
        <v>179.33</v>
      </c>
      <c r="D18" s="36">
        <f>'W7-10'!N$4</f>
        <v>255.56</v>
      </c>
      <c r="E18" s="51">
        <f>'W7-10'!O$4</f>
        <v>2.2999999999999998</v>
      </c>
      <c r="F18" s="37">
        <f>'W7-10'!L$5</f>
        <v>20</v>
      </c>
      <c r="G18" s="36">
        <f>'W7-10'!M$5</f>
        <v>169.2</v>
      </c>
      <c r="H18" s="36">
        <f>'W7-10'!N$5</f>
        <v>193.5</v>
      </c>
      <c r="I18" s="51">
        <f>'W7-10'!O$5</f>
        <v>3.87</v>
      </c>
      <c r="J18" s="37">
        <f>'W7-10'!L$10</f>
        <v>9</v>
      </c>
      <c r="K18" s="36">
        <f>'W7-10'!M$10</f>
        <v>159.44</v>
      </c>
      <c r="L18" s="36">
        <f>'W7-10'!N$10</f>
        <v>224.44</v>
      </c>
      <c r="M18" s="51">
        <f>'W7-10'!O$10</f>
        <v>2.02</v>
      </c>
      <c r="N18" s="37">
        <f>'W7-10'!L$11</f>
        <v>20</v>
      </c>
      <c r="O18" s="36">
        <f>'W7-10'!M$11</f>
        <v>169.25</v>
      </c>
      <c r="P18" s="36">
        <f>'W7-10'!N$11</f>
        <v>213.5</v>
      </c>
      <c r="Q18" s="51">
        <f>'W7-10'!O$11</f>
        <v>4.2699999999999996</v>
      </c>
      <c r="R18" s="36" t="str">
        <f>'W7-10'!L$12</f>
        <v>na</v>
      </c>
      <c r="S18" s="36" t="str">
        <f>'W7-10'!M$12</f>
        <v>na</v>
      </c>
      <c r="T18" s="36" t="str">
        <f>'W7-10'!N$12</f>
        <v>na</v>
      </c>
      <c r="U18" s="50" t="str">
        <f>'W7-10'!O$12</f>
        <v>na</v>
      </c>
      <c r="V18" s="39">
        <f>'W7-10'!P$5</f>
        <v>6</v>
      </c>
      <c r="W18" s="38">
        <f>'W7-10'!Q$5</f>
        <v>39.67</v>
      </c>
      <c r="X18" s="38">
        <f>'W7-10'!R$5</f>
        <v>57.83</v>
      </c>
      <c r="Y18" s="48">
        <f>'W7-10'!S$5</f>
        <v>0.34689999999999999</v>
      </c>
      <c r="Z18" s="40">
        <f>'W7-10'!P$4</f>
        <v>15</v>
      </c>
      <c r="AA18" s="38">
        <f>'W7-10'!Q$4</f>
        <v>42.73</v>
      </c>
      <c r="AB18" s="38">
        <f>'W7-10'!R$4</f>
        <v>37.33</v>
      </c>
      <c r="AC18" s="48">
        <f>'W7-10'!S$4</f>
        <v>0.56000000000000005</v>
      </c>
      <c r="AD18" s="40">
        <f>'W7-10'!L$16</f>
        <v>9</v>
      </c>
      <c r="AE18" s="38">
        <f>'W7-10'!M$16</f>
        <v>41</v>
      </c>
      <c r="AF18" s="38">
        <f>'W7-10'!N$16</f>
        <v>44.44</v>
      </c>
      <c r="AG18" s="48">
        <f>'W7-10'!O$16</f>
        <v>0.4</v>
      </c>
      <c r="AH18" s="40">
        <f>'W7-10'!L$17</f>
        <v>16</v>
      </c>
      <c r="AI18" s="38">
        <f>'W7-10'!M$17</f>
        <v>32.625</v>
      </c>
      <c r="AJ18" s="38">
        <f>'W7-10'!N$17</f>
        <v>37.5</v>
      </c>
      <c r="AK18" s="48">
        <f>'W7-10'!O$17</f>
        <v>0.6</v>
      </c>
      <c r="AL18" s="38">
        <f>'W7-10'!L$18</f>
        <v>23</v>
      </c>
      <c r="AM18" s="38">
        <f>'W7-10'!M$18</f>
        <v>38.520000000000003</v>
      </c>
      <c r="AN18" s="38">
        <f>'W7-10'!N$18</f>
        <v>54.78</v>
      </c>
      <c r="AO18" s="47">
        <f>'W7-10'!O$18</f>
        <v>1.26</v>
      </c>
      <c r="AP18" s="42">
        <f>'W7-10'!P$11</f>
        <v>6</v>
      </c>
      <c r="AQ18" s="41">
        <f>'W7-10'!Q$11</f>
        <v>62.667000000000002</v>
      </c>
      <c r="AR18" s="41">
        <f>'W7-10'!R$11</f>
        <v>176.667</v>
      </c>
      <c r="AS18" s="45">
        <f>'W7-10'!S$11</f>
        <v>1.06</v>
      </c>
      <c r="AT18" s="43">
        <f>'W7-10'!P$10</f>
        <v>15</v>
      </c>
      <c r="AU18" s="41">
        <f>'W7-10'!Q$10</f>
        <v>73.266999999999996</v>
      </c>
      <c r="AV18" s="41">
        <f>'W7-10'!R$10</f>
        <v>207.33</v>
      </c>
      <c r="AW18" s="45">
        <f>'W7-10'!S$10</f>
        <v>3.11</v>
      </c>
      <c r="AX18" s="43">
        <f>'W7-10'!P$17</f>
        <v>8</v>
      </c>
      <c r="AY18" s="41">
        <f>'W7-10'!Q$17</f>
        <v>86.5</v>
      </c>
      <c r="AZ18" s="41">
        <f>'W7-10'!R$17</f>
        <v>296.25</v>
      </c>
      <c r="BA18" s="45">
        <f>'W7-10'!S$17</f>
        <v>2.37</v>
      </c>
      <c r="BB18" s="43">
        <f>'W7-10'!P$16</f>
        <v>16</v>
      </c>
      <c r="BC18" s="41">
        <f>'W7-10'!Q$16</f>
        <v>74.94</v>
      </c>
      <c r="BD18" s="41">
        <f>'W7-10'!R$16</f>
        <v>185</v>
      </c>
      <c r="BE18" s="45">
        <f>'W7-10'!S$16</f>
        <v>2.96</v>
      </c>
      <c r="BF18" s="43">
        <f>'W7-10'!P$15</f>
        <v>20</v>
      </c>
      <c r="BG18" s="41">
        <f>'W7-10'!Q$15</f>
        <v>55.45</v>
      </c>
      <c r="BH18" s="41">
        <f>'W7-10'!R$15</f>
        <v>127</v>
      </c>
      <c r="BI18" s="44">
        <f>'W7-10'!S$15</f>
        <v>2.54</v>
      </c>
    </row>
    <row r="19" spans="1:61">
      <c r="A19" s="52" t="s">
        <v>77</v>
      </c>
      <c r="B19" s="35">
        <f>'Th9-12'!B$4</f>
        <v>10</v>
      </c>
      <c r="C19" s="36">
        <f>'Th9-12'!C$4</f>
        <v>155.5</v>
      </c>
      <c r="D19" s="36">
        <f>'Th9-12'!D$4</f>
        <v>163</v>
      </c>
      <c r="E19" s="51">
        <f>'Th9-12'!E$4</f>
        <v>1.63</v>
      </c>
      <c r="F19" s="37">
        <f>'Th9-12'!B$5</f>
        <v>19</v>
      </c>
      <c r="G19" s="36">
        <f>'Th9-12'!C$5</f>
        <v>165.57900000000001</v>
      </c>
      <c r="H19" s="36">
        <f>'Th9-12'!D$5</f>
        <v>201.05</v>
      </c>
      <c r="I19" s="51">
        <f>'Th9-12'!E$5</f>
        <v>3.82</v>
      </c>
      <c r="J19" s="37">
        <f>'Th9-12'!B$10</f>
        <v>9</v>
      </c>
      <c r="K19" s="36">
        <f>'Th9-12'!C$10</f>
        <v>191.11</v>
      </c>
      <c r="L19" s="36">
        <f>'Th9-12'!D$10</f>
        <v>226.67</v>
      </c>
      <c r="M19" s="51">
        <f>'Th9-12'!E$10</f>
        <v>2.04</v>
      </c>
      <c r="N19" s="37">
        <f>'Th9-12'!B$11</f>
        <v>18</v>
      </c>
      <c r="O19" s="36">
        <f>'Th9-12'!C$11</f>
        <v>170.22</v>
      </c>
      <c r="P19" s="36">
        <f>'Th9-12'!D$11</f>
        <v>179.44399999999999</v>
      </c>
      <c r="Q19" s="51">
        <f>'Th9-12'!E$11</f>
        <v>3.23</v>
      </c>
      <c r="R19" s="36">
        <f>'Th9-12'!B$12</f>
        <v>30</v>
      </c>
      <c r="S19" s="36">
        <f>'Th9-12'!C$12</f>
        <v>130.667</v>
      </c>
      <c r="T19" s="36">
        <f>'Th9-12'!D$12</f>
        <v>196.667</v>
      </c>
      <c r="U19" s="50">
        <f>'Th9-12'!E$12</f>
        <v>5.9</v>
      </c>
      <c r="V19" s="39">
        <f>'Th9-12'!F$5</f>
        <v>9</v>
      </c>
      <c r="W19" s="38">
        <f>'Th9-12'!G$5</f>
        <v>40.889000000000003</v>
      </c>
      <c r="X19" s="38">
        <f>'Th9-12'!H$5</f>
        <v>36.67</v>
      </c>
      <c r="Y19" s="48">
        <f>'Th9-12'!I$5</f>
        <v>0.33</v>
      </c>
      <c r="Z19" s="40">
        <f>'Th9-12'!F$4</f>
        <v>19</v>
      </c>
      <c r="AA19" s="38">
        <f>'Th9-12'!G$4</f>
        <v>35.049999999999997</v>
      </c>
      <c r="AB19" s="38">
        <f>'Th9-12'!H$4</f>
        <v>45.26</v>
      </c>
      <c r="AC19" s="48">
        <f>'Th9-12'!I$4</f>
        <v>0.86</v>
      </c>
      <c r="AD19" s="40">
        <f>'Th9-12'!B$16</f>
        <v>7</v>
      </c>
      <c r="AE19" s="38">
        <f>'Th9-12'!C$16</f>
        <v>31</v>
      </c>
      <c r="AF19" s="38">
        <f>'Th9-12'!D$16</f>
        <v>41.429000000000002</v>
      </c>
      <c r="AG19" s="48">
        <f>'Th9-12'!E$16</f>
        <v>0.28999999999999998</v>
      </c>
      <c r="AH19" s="40">
        <f>'Th9-12'!B$17</f>
        <v>14</v>
      </c>
      <c r="AI19" s="38">
        <f>'Th9-12'!C$17</f>
        <v>33.93</v>
      </c>
      <c r="AJ19" s="38">
        <f>'Th9-12'!D$17</f>
        <v>41.43</v>
      </c>
      <c r="AK19" s="48">
        <f>'Th9-12'!E$17</f>
        <v>0.57999999999999996</v>
      </c>
      <c r="AL19" s="38">
        <f>'Th9-12'!B$18</f>
        <v>24</v>
      </c>
      <c r="AM19" s="38">
        <f>'Th9-12'!C$18</f>
        <v>26.91</v>
      </c>
      <c r="AN19" s="38">
        <f>'Th9-12'!D$18</f>
        <v>44.582999999999998</v>
      </c>
      <c r="AO19" s="47">
        <f>'Th9-12'!E$18</f>
        <v>1.07</v>
      </c>
      <c r="AP19" s="42">
        <f>'Th9-12'!F$11</f>
        <v>10</v>
      </c>
      <c r="AQ19" s="41">
        <f>'Th9-12'!G$11</f>
        <v>34.799999999999997</v>
      </c>
      <c r="AR19" s="41">
        <f>'Th9-12'!H$11</f>
        <v>44</v>
      </c>
      <c r="AS19" s="45">
        <f>'Th9-12'!I$11</f>
        <v>0.44</v>
      </c>
      <c r="AT19" s="43">
        <f>'Th9-12'!F$10</f>
        <v>13</v>
      </c>
      <c r="AU19" s="41">
        <f>'Th9-12'!G$10</f>
        <v>58.46</v>
      </c>
      <c r="AV19" s="41">
        <f>'Th9-12'!H$10</f>
        <v>174.62</v>
      </c>
      <c r="AW19" s="45">
        <f>'Th9-12'!I$10</f>
        <v>2.27</v>
      </c>
      <c r="AX19" s="43">
        <f>'Th9-12'!F$17</f>
        <v>4</v>
      </c>
      <c r="AY19" s="41">
        <f>'Th9-12'!G$17</f>
        <v>73.5</v>
      </c>
      <c r="AZ19" s="41">
        <f>'Th9-12'!H$17</f>
        <v>172.5</v>
      </c>
      <c r="BA19" s="45">
        <f>'Th9-12'!I$17</f>
        <v>0.69</v>
      </c>
      <c r="BB19" s="43">
        <f>'Th9-12'!F$16</f>
        <v>14</v>
      </c>
      <c r="BC19" s="41">
        <f>'Th9-12'!G$16</f>
        <v>57.79</v>
      </c>
      <c r="BD19" s="41">
        <f>'Th9-12'!H$16</f>
        <v>234.29</v>
      </c>
      <c r="BE19" s="45">
        <f>'Th9-12'!I$16</f>
        <v>3.28</v>
      </c>
      <c r="BF19" s="90">
        <f>'Th9-12'!F$15</f>
        <v>40</v>
      </c>
      <c r="BG19" s="41">
        <f>'Th9-12'!G$15</f>
        <v>47.5</v>
      </c>
      <c r="BH19" s="41">
        <f>'Th9-12'!H$15</f>
        <v>82.75</v>
      </c>
      <c r="BI19" s="44">
        <f>'Th9-12'!I$15</f>
        <v>3.31</v>
      </c>
    </row>
    <row r="20" spans="1:61">
      <c r="A20" s="52" t="s">
        <v>78</v>
      </c>
      <c r="B20" s="35">
        <f>'Th9-12'!L$4</f>
        <v>10</v>
      </c>
      <c r="C20" s="36">
        <f>'Th9-12'!M$4</f>
        <v>167.5</v>
      </c>
      <c r="D20" s="36">
        <f>'Th9-12'!N$4</f>
        <v>185</v>
      </c>
      <c r="E20" s="51">
        <f>'Th9-12'!O$4</f>
        <v>1.85</v>
      </c>
      <c r="F20" s="90">
        <f>'Th9-12'!L$5</f>
        <v>27</v>
      </c>
      <c r="G20" s="36">
        <f>'Th9-12'!M$5</f>
        <v>162.9</v>
      </c>
      <c r="H20" s="36">
        <f>'Th9-12'!N$5</f>
        <v>163.47999999999999</v>
      </c>
      <c r="I20" s="51">
        <f>'Th9-12'!O$5</f>
        <v>4.4139999999999997</v>
      </c>
      <c r="J20" s="37" t="str">
        <f>'Th9-12'!L$10</f>
        <v>na</v>
      </c>
      <c r="K20" s="36" t="str">
        <f>'Th9-12'!M$10</f>
        <v>na</v>
      </c>
      <c r="L20" s="36" t="str">
        <f>'Th9-12'!N$10</f>
        <v>na</v>
      </c>
      <c r="M20" s="51" t="str">
        <f>'Th9-12'!O$10</f>
        <v>na</v>
      </c>
      <c r="N20" s="37">
        <f>'Th9-12'!L$11</f>
        <v>20</v>
      </c>
      <c r="O20" s="36">
        <f>'Th9-12'!M$11</f>
        <v>165.25</v>
      </c>
      <c r="P20" s="36">
        <f>'Th9-12'!N$11</f>
        <v>173</v>
      </c>
      <c r="Q20" s="51">
        <f>'Th9-12'!O$11</f>
        <v>3.46</v>
      </c>
      <c r="R20" s="36">
        <f>'Th9-12'!L$12</f>
        <v>30</v>
      </c>
      <c r="S20" s="36">
        <f>'Th9-12'!M$12</f>
        <v>155.16</v>
      </c>
      <c r="T20" s="36">
        <f>'Th9-12'!N$12</f>
        <v>180</v>
      </c>
      <c r="U20" s="50">
        <f>'Th9-12'!O$12</f>
        <v>5.4</v>
      </c>
      <c r="V20" s="93">
        <f>'Th9-12'!P$5</f>
        <v>14</v>
      </c>
      <c r="W20" s="38">
        <f>'Th9-12'!Q$5</f>
        <v>29.5</v>
      </c>
      <c r="X20" s="38">
        <f>'Th9-12'!R$5</f>
        <v>29.28</v>
      </c>
      <c r="Y20" s="48">
        <f>'Th9-12'!S$5</f>
        <v>0.41</v>
      </c>
      <c r="Z20" s="40">
        <f>'Th9-12'!P$4</f>
        <v>15</v>
      </c>
      <c r="AA20" s="38">
        <f>'Th9-12'!Q$4</f>
        <v>33.4</v>
      </c>
      <c r="AB20" s="38">
        <f>'Th9-12'!R$4</f>
        <v>37.299999999999997</v>
      </c>
      <c r="AC20" s="48">
        <f>'Th9-12'!S$4</f>
        <v>0.56000000000000005</v>
      </c>
      <c r="AD20" s="40">
        <f>'Th9-12'!L$16</f>
        <v>5</v>
      </c>
      <c r="AE20" s="38">
        <f>'Th9-12'!M$16</f>
        <v>27.5</v>
      </c>
      <c r="AF20" s="38">
        <f>'Th9-12'!N$16</f>
        <v>36</v>
      </c>
      <c r="AG20" s="48">
        <f>'Th9-12'!O$16</f>
        <v>0.18</v>
      </c>
      <c r="AH20" s="40">
        <f>'Th9-12'!L$17</f>
        <v>15</v>
      </c>
      <c r="AI20" s="38">
        <f>'Th9-12'!M$17</f>
        <v>36.866999999999997</v>
      </c>
      <c r="AJ20" s="38">
        <f>'Th9-12'!N$17</f>
        <v>35.33</v>
      </c>
      <c r="AK20" s="48">
        <f>'Th9-12'!O$17</f>
        <v>0.53</v>
      </c>
      <c r="AL20" s="38">
        <f>'Th9-12'!L$18</f>
        <v>26</v>
      </c>
      <c r="AM20" s="38">
        <f>'Th9-12'!M$18</f>
        <v>30.192</v>
      </c>
      <c r="AN20" s="38">
        <f>'Th9-12'!N$18</f>
        <v>51.153799999999997</v>
      </c>
      <c r="AO20" s="47">
        <f>'Th9-12'!O$18</f>
        <v>1.33</v>
      </c>
      <c r="AP20" s="42">
        <f>'Th9-12'!P$11</f>
        <v>7</v>
      </c>
      <c r="AQ20" s="41">
        <f>'Th9-12'!Q$11</f>
        <v>65.14</v>
      </c>
      <c r="AR20" s="41">
        <f>'Th9-12'!R$11</f>
        <v>218.57</v>
      </c>
      <c r="AS20" s="45">
        <f>'Th9-12'!S$11</f>
        <v>1.53</v>
      </c>
      <c r="AT20" s="43" t="str">
        <f>'Th9-12'!P$10</f>
        <v>na</v>
      </c>
      <c r="AU20" s="41" t="str">
        <f>'Th9-12'!Q$10</f>
        <v>na</v>
      </c>
      <c r="AV20" s="41" t="str">
        <f>'Th9-12'!R$10</f>
        <v>na</v>
      </c>
      <c r="AW20" s="45" t="str">
        <f>'Th9-12'!S$10</f>
        <v>na</v>
      </c>
      <c r="AX20" s="43">
        <f>'Th9-12'!P$17</f>
        <v>6</v>
      </c>
      <c r="AY20" s="41">
        <f>'Th9-12'!Q$17</f>
        <v>70</v>
      </c>
      <c r="AZ20" s="41">
        <f>'Th9-12'!R$17</f>
        <v>146.66999999999999</v>
      </c>
      <c r="BA20" s="45">
        <f>'Th9-12'!S$17</f>
        <v>0.88</v>
      </c>
      <c r="BB20" s="43">
        <f>'Th9-12'!P$16</f>
        <v>19</v>
      </c>
      <c r="BC20" s="41">
        <f>'Th9-12'!Q$16</f>
        <v>47.08</v>
      </c>
      <c r="BD20" s="41">
        <f>'Th9-12'!R$16</f>
        <v>125.26</v>
      </c>
      <c r="BE20" s="45">
        <f>'Th9-12'!S$16</f>
        <v>2.38</v>
      </c>
      <c r="BF20" s="43">
        <f>'Th9-12'!P$15</f>
        <v>26</v>
      </c>
      <c r="BG20" s="41">
        <f>'Th9-12'!Q$15</f>
        <v>41.88</v>
      </c>
      <c r="BH20" s="41">
        <f>'Th9-12'!R$15</f>
        <v>121.53</v>
      </c>
      <c r="BI20" s="44">
        <f>'Th9-12'!S$15</f>
        <v>3.16</v>
      </c>
    </row>
    <row r="21" spans="1:61">
      <c r="A21" s="52" t="s">
        <v>81</v>
      </c>
      <c r="B21" s="35">
        <f>'Th2-5'!B$4</f>
        <v>10</v>
      </c>
      <c r="C21" s="36">
        <f>'Th2-5'!C$4</f>
        <v>130.80000000000001</v>
      </c>
      <c r="D21" s="36">
        <f>'Th2-5'!D$4</f>
        <v>181</v>
      </c>
      <c r="E21" s="51">
        <f>'Th2-5'!E$4</f>
        <v>1.81</v>
      </c>
      <c r="F21" s="37">
        <f>'Th2-5'!B$5</f>
        <v>19</v>
      </c>
      <c r="G21" s="36">
        <f>'Th2-5'!C$5</f>
        <v>138.26</v>
      </c>
      <c r="H21" s="36">
        <f>'Th2-5'!D$5</f>
        <v>207.89</v>
      </c>
      <c r="I21" s="51">
        <f>'Th2-5'!E$5</f>
        <v>3.95</v>
      </c>
      <c r="J21" s="37">
        <f>'Th2-5'!B$10</f>
        <v>10</v>
      </c>
      <c r="K21" s="36">
        <f>'Th2-5'!C$10</f>
        <v>149</v>
      </c>
      <c r="L21" s="36">
        <f>'Th2-5'!D$10</f>
        <v>169</v>
      </c>
      <c r="M21" s="51">
        <f>'Th2-5'!E$10</f>
        <v>1.69</v>
      </c>
      <c r="N21" s="90">
        <f>'Th2-5'!B$11</f>
        <v>22</v>
      </c>
      <c r="O21" s="36">
        <f>'Th2-5'!C$11</f>
        <v>169</v>
      </c>
      <c r="P21" s="36">
        <f>'Th2-5'!D$11</f>
        <v>170.9</v>
      </c>
      <c r="Q21" s="51">
        <f>'Th2-5'!E$11</f>
        <v>3.76</v>
      </c>
      <c r="R21" s="36">
        <f>'Th2-5'!B$12</f>
        <v>30</v>
      </c>
      <c r="S21" s="36">
        <f>'Th2-5'!C$12</f>
        <v>61.1</v>
      </c>
      <c r="T21" s="36">
        <f>'Th2-5'!D$12</f>
        <v>226</v>
      </c>
      <c r="U21" s="50">
        <f>'Th2-5'!E$12</f>
        <v>6.78</v>
      </c>
      <c r="V21" s="39">
        <f>'Th2-5'!F$5</f>
        <v>7</v>
      </c>
      <c r="W21" s="38">
        <f>'Th2-5'!G$5</f>
        <v>21.71</v>
      </c>
      <c r="X21" s="38">
        <f>'Th2-5'!H$5</f>
        <v>21.43</v>
      </c>
      <c r="Y21" s="48">
        <f>'Th2-5'!I$5</f>
        <v>0.15</v>
      </c>
      <c r="Z21" s="40">
        <f>'Th2-5'!F$4</f>
        <v>15</v>
      </c>
      <c r="AA21" s="38">
        <f>'Th2-5'!G$4</f>
        <v>31.33</v>
      </c>
      <c r="AB21" s="38">
        <f>'Th2-5'!H$4</f>
        <v>45.33</v>
      </c>
      <c r="AC21" s="48">
        <f>'Th2-5'!I$4</f>
        <v>0.68</v>
      </c>
      <c r="AD21" s="90">
        <f>'Th2-5'!B$16</f>
        <v>16</v>
      </c>
      <c r="AE21" s="38">
        <f>'Th2-5'!C$16</f>
        <v>50.68</v>
      </c>
      <c r="AF21" s="108">
        <f>'Th2-5'!D$16</f>
        <v>143</v>
      </c>
      <c r="AG21" s="109">
        <f>'Th2-5'!E$16</f>
        <v>2.29</v>
      </c>
      <c r="AH21" s="90">
        <f>'Th2-5'!B$17</f>
        <v>6</v>
      </c>
      <c r="AI21" s="38">
        <f>'Th2-5'!C$17</f>
        <v>38.299999999999997</v>
      </c>
      <c r="AJ21" s="38">
        <f>'Th2-5'!D$17</f>
        <v>183.3</v>
      </c>
      <c r="AK21" s="48">
        <f>'Th2-5'!E$17</f>
        <v>1.1000000000000001</v>
      </c>
      <c r="AL21" s="38">
        <f>'Th2-5'!B$18</f>
        <v>22</v>
      </c>
      <c r="AM21" s="38">
        <f>'Th2-5'!C$18</f>
        <v>30</v>
      </c>
      <c r="AN21" s="38">
        <f>'Th2-5'!D$18</f>
        <v>36.799999999999997</v>
      </c>
      <c r="AO21" s="47">
        <f>'Th2-5'!E$18</f>
        <v>0.81</v>
      </c>
      <c r="AP21" s="93">
        <f>'Th2-5'!F$11</f>
        <v>11</v>
      </c>
      <c r="AQ21" s="41">
        <f>'Th2-5'!G$11</f>
        <v>4.84</v>
      </c>
      <c r="AR21" s="41">
        <f>'Th2-5'!H$11</f>
        <v>89</v>
      </c>
      <c r="AS21" s="45">
        <f>'Th2-5'!I$11</f>
        <v>0.98</v>
      </c>
      <c r="AT21" s="43">
        <f>'Th2-5'!F$10</f>
        <v>18</v>
      </c>
      <c r="AU21" s="41">
        <f>'Th2-5'!G$10</f>
        <v>33.94</v>
      </c>
      <c r="AV21" s="41">
        <f>'Th2-5'!H$10</f>
        <v>51.67</v>
      </c>
      <c r="AW21" s="45">
        <f>'Th2-5'!I$10</f>
        <v>0.93</v>
      </c>
      <c r="AX21" s="90">
        <f>'Th2-5'!F$17</f>
        <v>13</v>
      </c>
      <c r="AY21" s="41">
        <f>'Th2-5'!G$17</f>
        <v>28.538</v>
      </c>
      <c r="AZ21" s="41">
        <f>'Th2-5'!H$17</f>
        <v>41.537999999999997</v>
      </c>
      <c r="BA21" s="45">
        <f>'Th2-5'!I$17</f>
        <v>0.54</v>
      </c>
      <c r="BB21" s="43">
        <f>'Th2-5'!F$16</f>
        <v>9</v>
      </c>
      <c r="BC21" s="41">
        <f>'Th2-5'!G$16</f>
        <v>25.4</v>
      </c>
      <c r="BD21" s="41">
        <f>'Th2-5'!H$16</f>
        <v>33.299999999999997</v>
      </c>
      <c r="BE21" s="45">
        <f>'Th2-5'!I$16</f>
        <v>0.3</v>
      </c>
      <c r="BF21" s="43">
        <f>'Th2-5'!F$15</f>
        <v>22</v>
      </c>
      <c r="BG21" s="41">
        <f>'Th2-5'!G$15</f>
        <v>2.15</v>
      </c>
      <c r="BH21" s="41">
        <f>'Th2-5'!H$15</f>
        <v>85</v>
      </c>
      <c r="BI21" s="44">
        <f>'Th2-5'!I$15</f>
        <v>1.88</v>
      </c>
    </row>
    <row r="22" spans="1:61">
      <c r="A22" s="52" t="s">
        <v>82</v>
      </c>
      <c r="B22" s="35">
        <f>'Th2-5'!L$4</f>
        <v>10</v>
      </c>
      <c r="C22" s="36">
        <f>'Th2-5'!M$4</f>
        <v>142.5</v>
      </c>
      <c r="D22" s="36">
        <f>'Th2-5'!N$4</f>
        <v>119</v>
      </c>
      <c r="E22" s="51">
        <f>'Th2-5'!O$4</f>
        <v>1.19</v>
      </c>
      <c r="F22" s="37">
        <f>'Th2-5'!L$5</f>
        <v>20</v>
      </c>
      <c r="G22" s="36">
        <f>'Th2-5'!M$5</f>
        <v>187.4</v>
      </c>
      <c r="H22" s="36">
        <f>'Th2-5'!N$5</f>
        <v>188</v>
      </c>
      <c r="I22" s="51">
        <f>'Th2-5'!O$5</f>
        <v>3.76</v>
      </c>
      <c r="J22" s="37">
        <f>'Th2-5'!L$10</f>
        <v>8</v>
      </c>
      <c r="K22" s="36">
        <f>'Th2-5'!M$10</f>
        <v>170.5</v>
      </c>
      <c r="L22" s="36">
        <f>'Th2-5'!N$10</f>
        <v>125</v>
      </c>
      <c r="M22" s="51">
        <f>'Th2-5'!O$10</f>
        <v>1</v>
      </c>
      <c r="N22" s="37">
        <f>'Th2-5'!L$11</f>
        <v>20</v>
      </c>
      <c r="O22" s="36">
        <f>'Th2-5'!M$11</f>
        <v>149.69999999999999</v>
      </c>
      <c r="P22" s="36">
        <f>'Th2-5'!N$11</f>
        <v>208</v>
      </c>
      <c r="Q22" s="51">
        <f>'Th2-5'!O$11</f>
        <v>4.16</v>
      </c>
      <c r="R22" s="36">
        <f>'Th2-5'!L$12</f>
        <v>30</v>
      </c>
      <c r="S22" s="36">
        <f>'Th2-5'!M$12</f>
        <v>177.23</v>
      </c>
      <c r="T22" s="36">
        <f>'Th2-5'!N$12</f>
        <v>199.3</v>
      </c>
      <c r="U22" s="50">
        <f>'Th2-5'!O$12</f>
        <v>5.98</v>
      </c>
      <c r="V22" s="39">
        <f>'Th2-5'!P$5</f>
        <v>8</v>
      </c>
      <c r="W22" s="38">
        <f>'Th2-5'!Q$5</f>
        <v>38</v>
      </c>
      <c r="X22" s="38">
        <f>'Th2-5'!R$5</f>
        <v>31</v>
      </c>
      <c r="Y22" s="48">
        <f>'Th2-5'!S$5</f>
        <v>0.248</v>
      </c>
      <c r="Z22" s="40">
        <f>'Th2-5'!P$4</f>
        <v>20</v>
      </c>
      <c r="AA22" s="38">
        <f>'Th2-5'!Q$4</f>
        <v>25</v>
      </c>
      <c r="AB22" s="38">
        <f>'Th2-5'!R$4</f>
        <v>40.5</v>
      </c>
      <c r="AC22" s="48">
        <f>'Th2-5'!S$4</f>
        <v>0.81</v>
      </c>
      <c r="AD22" s="40">
        <f>'Th2-5'!L$16</f>
        <v>7</v>
      </c>
      <c r="AE22" s="38">
        <f>'Th2-5'!M$16</f>
        <v>34</v>
      </c>
      <c r="AF22" s="38">
        <f>'Th2-5'!N$16</f>
        <v>33.4</v>
      </c>
      <c r="AG22" s="48">
        <f>'Th2-5'!O$16</f>
        <v>0.23400000000000001</v>
      </c>
      <c r="AH22" s="40">
        <f>'Th2-5'!L$17</f>
        <v>17</v>
      </c>
      <c r="AI22" s="38">
        <f>'Th2-5'!M$17</f>
        <v>37.65</v>
      </c>
      <c r="AJ22" s="38">
        <f>'Th2-5'!N$17</f>
        <v>57.06</v>
      </c>
      <c r="AK22" s="48">
        <f>'Th2-5'!O$17</f>
        <v>0.97</v>
      </c>
      <c r="AL22" s="38">
        <f>'Th2-5'!L$18</f>
        <v>29</v>
      </c>
      <c r="AM22" s="38">
        <f>'Th2-5'!M$18</f>
        <v>35.267000000000003</v>
      </c>
      <c r="AN22" s="38">
        <f>'Th2-5'!N$18</f>
        <v>48.67</v>
      </c>
      <c r="AO22" s="47">
        <f>'Th2-5'!O$18</f>
        <v>1.46</v>
      </c>
      <c r="AP22" s="42">
        <f>'Th2-5'!P$11</f>
        <v>6</v>
      </c>
      <c r="AQ22" s="41">
        <f>'Th2-5'!Q$11</f>
        <v>71.67</v>
      </c>
      <c r="AR22" s="41">
        <f>'Th2-5'!R$11</f>
        <v>211.67</v>
      </c>
      <c r="AS22" s="45">
        <f>'Th2-5'!S$11</f>
        <v>1.27</v>
      </c>
      <c r="AT22" s="43">
        <f>'Th2-5'!P$10</f>
        <v>14</v>
      </c>
      <c r="AU22" s="41">
        <f>'Th2-5'!Q$10</f>
        <v>49.2</v>
      </c>
      <c r="AV22" s="41">
        <f>'Th2-5'!R$10</f>
        <v>90</v>
      </c>
      <c r="AW22" s="45">
        <f>'Th2-5'!S$10</f>
        <v>1.26</v>
      </c>
      <c r="AX22" s="90">
        <f>'Th2-5'!P$17</f>
        <v>16</v>
      </c>
      <c r="AY22" s="41">
        <f>'Th2-5'!Q$17</f>
        <v>40.3125</v>
      </c>
      <c r="AZ22" s="41">
        <f>'Th2-5'!R$17</f>
        <v>81.25</v>
      </c>
      <c r="BA22" s="45">
        <f>'Th2-5'!S$17</f>
        <v>1.3</v>
      </c>
      <c r="BB22" s="43">
        <f>'Th2-5'!P$16</f>
        <v>14</v>
      </c>
      <c r="BC22" s="41">
        <f>'Th2-5'!Q$16</f>
        <v>55.57</v>
      </c>
      <c r="BD22" s="41">
        <f>'Th2-5'!R$16</f>
        <v>122.15</v>
      </c>
      <c r="BE22" s="45">
        <f>'Th2-5'!S$16</f>
        <v>1.71</v>
      </c>
      <c r="BF22" s="43">
        <f>'Th2-5'!P$15</f>
        <v>25</v>
      </c>
      <c r="BG22" s="41">
        <f>'Th2-5'!Q$15</f>
        <v>50.75</v>
      </c>
      <c r="BH22" s="41">
        <f>'Th2-5'!R$15</f>
        <v>144.80000000000001</v>
      </c>
      <c r="BI22" s="44">
        <f>'Th2-5'!S$15</f>
        <v>3.62</v>
      </c>
    </row>
    <row r="23" spans="1:61">
      <c r="A23" s="52" t="s">
        <v>85</v>
      </c>
      <c r="B23" s="35">
        <f>'Th7-10'!B$4</f>
        <v>7</v>
      </c>
      <c r="C23" s="36">
        <f>'Th7-10'!C$4</f>
        <v>167.1</v>
      </c>
      <c r="D23" s="36">
        <f>'Th7-10'!D$4</f>
        <v>217.1</v>
      </c>
      <c r="E23" s="51">
        <f>'Th7-10'!E$4</f>
        <v>1.52</v>
      </c>
      <c r="F23" s="37">
        <f>'Th7-10'!B$5</f>
        <v>19</v>
      </c>
      <c r="G23" s="36">
        <f>'Th7-10'!C$5</f>
        <v>173.89</v>
      </c>
      <c r="H23" s="36">
        <f>'Th7-10'!D$5</f>
        <v>198.95</v>
      </c>
      <c r="I23" s="51">
        <f>'Th7-10'!E$5</f>
        <v>3.78</v>
      </c>
      <c r="J23" s="90">
        <f>'Th7-10'!B$10</f>
        <v>15</v>
      </c>
      <c r="K23" s="36">
        <f>'Th7-10'!C$10</f>
        <v>149.66999999999999</v>
      </c>
      <c r="L23" s="36">
        <f>'Th7-10'!D$10</f>
        <v>117</v>
      </c>
      <c r="M23" s="51">
        <f>'Th7-10'!E$10</f>
        <v>1.75</v>
      </c>
      <c r="N23" s="37">
        <f>'Th7-10'!B$11</f>
        <v>20</v>
      </c>
      <c r="O23" s="36">
        <f>'Th7-10'!C$11</f>
        <v>142.15</v>
      </c>
      <c r="P23" s="36">
        <f>'Th7-10'!D$11</f>
        <v>210</v>
      </c>
      <c r="Q23" s="51">
        <f>'Th7-10'!E$11</f>
        <v>4.2</v>
      </c>
      <c r="R23" s="91">
        <f>'Th7-10'!B$12</f>
        <v>31</v>
      </c>
      <c r="S23" s="36">
        <f>'Th7-10'!C$12</f>
        <v>175.9</v>
      </c>
      <c r="T23" s="36">
        <f>'Th7-10'!D$12</f>
        <v>190.9</v>
      </c>
      <c r="U23" s="50">
        <f>'Th7-10'!E$12</f>
        <v>5.92</v>
      </c>
      <c r="V23" s="39">
        <f>'Th7-10'!F$5</f>
        <v>8</v>
      </c>
      <c r="W23" s="38">
        <f>'Th7-10'!G$5</f>
        <v>27.125</v>
      </c>
      <c r="X23" s="38">
        <f>'Th7-10'!H$5</f>
        <v>22.5</v>
      </c>
      <c r="Y23" s="48">
        <f>'Th7-10'!I$5</f>
        <v>0.18</v>
      </c>
      <c r="Z23" s="40">
        <f>'Th7-10'!F$4</f>
        <v>14</v>
      </c>
      <c r="AA23" s="38">
        <f>'Th7-10'!G$4</f>
        <v>42.1</v>
      </c>
      <c r="AB23" s="38">
        <f>'Th7-10'!H$4</f>
        <v>52.9</v>
      </c>
      <c r="AC23" s="48">
        <f>'Th7-10'!I$4</f>
        <v>0.74</v>
      </c>
      <c r="AD23" s="40">
        <f>'Th7-10'!B$16</f>
        <v>8</v>
      </c>
      <c r="AE23" s="38">
        <f>'Th7-10'!C$16</f>
        <v>28.625</v>
      </c>
      <c r="AF23" s="38">
        <f>'Th7-10'!D$16</f>
        <v>37.5</v>
      </c>
      <c r="AG23" s="48">
        <f>'Th7-10'!E$16</f>
        <v>0.3</v>
      </c>
      <c r="AH23" s="40">
        <f>'Th7-10'!B$17</f>
        <v>12</v>
      </c>
      <c r="AI23" s="38">
        <f>'Th7-10'!C$17</f>
        <v>43.3</v>
      </c>
      <c r="AJ23" s="38">
        <f>'Th7-10'!D$17</f>
        <v>45</v>
      </c>
      <c r="AK23" s="48">
        <f>'Th7-10'!E$17</f>
        <v>0.54</v>
      </c>
      <c r="AL23" s="38">
        <f>'Th7-10'!B$18</f>
        <v>22</v>
      </c>
      <c r="AM23" s="38">
        <f>'Th7-10'!C$18</f>
        <v>38.136000000000003</v>
      </c>
      <c r="AN23" s="38">
        <f>'Th7-10'!D$18</f>
        <v>55.908999999999999</v>
      </c>
      <c r="AO23" s="47">
        <f>'Th7-10'!E$18</f>
        <v>1.23</v>
      </c>
      <c r="AP23" s="42">
        <f>'Th7-10'!F$11</f>
        <v>10</v>
      </c>
      <c r="AQ23" s="41">
        <f>'Th7-10'!G$11</f>
        <v>52.7</v>
      </c>
      <c r="AR23" s="41">
        <f>'Th7-10'!H$11</f>
        <v>89</v>
      </c>
      <c r="AS23" s="45">
        <f>'Th7-10'!I$11</f>
        <v>0.89</v>
      </c>
      <c r="AT23" s="43">
        <f>'Th7-10'!F$10</f>
        <v>15</v>
      </c>
      <c r="AU23" s="41">
        <f>'Th7-10'!G$10</f>
        <v>73.27</v>
      </c>
      <c r="AV23" s="41">
        <f>'Th7-10'!H$10</f>
        <v>161</v>
      </c>
      <c r="AW23" s="45">
        <f>'Th7-10'!I$10</f>
        <v>2.42</v>
      </c>
      <c r="AX23" s="43">
        <f>'Th7-10'!F$17</f>
        <v>4</v>
      </c>
      <c r="AY23" s="41">
        <f>'Th7-10'!G$17</f>
        <v>50</v>
      </c>
      <c r="AZ23" s="41">
        <f>'Th7-10'!H$17</f>
        <v>110</v>
      </c>
      <c r="BA23" s="45">
        <f>'Th7-10'!I$17</f>
        <v>0.44</v>
      </c>
      <c r="BB23" s="43">
        <f>'Th7-10'!F$16</f>
        <v>13</v>
      </c>
      <c r="BC23" s="41">
        <f>'Th7-10'!G$16</f>
        <v>67.69</v>
      </c>
      <c r="BD23" s="41">
        <f>'Th7-10'!H$16</f>
        <v>175.3</v>
      </c>
      <c r="BE23" s="45">
        <f>'Th7-10'!I$16</f>
        <v>2.2799999999999998</v>
      </c>
      <c r="BF23" s="43">
        <f>'Th7-10'!F$15</f>
        <v>23</v>
      </c>
      <c r="BG23" s="41">
        <f>'Th7-10'!G$15</f>
        <v>46.74</v>
      </c>
      <c r="BH23" s="41">
        <f>'Th7-10'!H$15</f>
        <v>134</v>
      </c>
      <c r="BI23" s="44">
        <f>'Th7-10'!I$15</f>
        <v>3.09</v>
      </c>
    </row>
    <row r="24" spans="1:61">
      <c r="A24" s="52" t="s">
        <v>86</v>
      </c>
      <c r="B24" s="35">
        <f>'Th7-10'!L$4</f>
        <v>10</v>
      </c>
      <c r="C24" s="36">
        <f>'Th7-10'!M$4</f>
        <v>149.69999999999999</v>
      </c>
      <c r="D24" s="36">
        <f>'Th7-10'!N$4</f>
        <v>167</v>
      </c>
      <c r="E24" s="51">
        <f>'Th7-10'!O$4</f>
        <v>1.67</v>
      </c>
      <c r="F24" s="37">
        <f>'Th7-10'!L$5</f>
        <v>17</v>
      </c>
      <c r="G24" s="36">
        <f>'Th7-10'!M$5</f>
        <v>112.3</v>
      </c>
      <c r="H24" s="36">
        <f>'Th7-10'!N$5</f>
        <v>173.5</v>
      </c>
      <c r="I24" s="51">
        <f>'Th7-10'!O$5</f>
        <v>2.95</v>
      </c>
      <c r="J24" s="37">
        <f>'Th7-10'!L$10</f>
        <v>10</v>
      </c>
      <c r="K24" s="36">
        <f>'Th7-10'!M$10</f>
        <v>147.6</v>
      </c>
      <c r="L24" s="36">
        <f>'Th7-10'!N$10</f>
        <v>163</v>
      </c>
      <c r="M24" s="51">
        <f>'Th7-10'!O$10</f>
        <v>1.63</v>
      </c>
      <c r="N24" s="37">
        <f>'Th7-10'!L$11</f>
        <v>20</v>
      </c>
      <c r="O24" s="36">
        <f>'Th7-10'!M$11</f>
        <v>136.25</v>
      </c>
      <c r="P24" s="36">
        <f>'Th7-10'!N$11</f>
        <v>174</v>
      </c>
      <c r="Q24" s="51">
        <f>'Th7-10'!O$11</f>
        <v>3.48</v>
      </c>
      <c r="R24" s="36">
        <f>'Th7-10'!L$12</f>
        <v>30</v>
      </c>
      <c r="S24" s="36">
        <f>'Th7-10'!M$12</f>
        <v>179.6</v>
      </c>
      <c r="T24" s="36">
        <f>'Th7-10'!N$12</f>
        <v>165.33</v>
      </c>
      <c r="U24" s="50">
        <f>'Th7-10'!O$12</f>
        <v>4.96</v>
      </c>
      <c r="V24" s="39">
        <f>'Th7-10'!P$5</f>
        <v>7</v>
      </c>
      <c r="W24" s="38">
        <f>'Th7-10'!Q$5</f>
        <v>26.86</v>
      </c>
      <c r="X24" s="38">
        <f>'Th7-10'!R$5</f>
        <v>30</v>
      </c>
      <c r="Y24" s="48">
        <f>'Th7-10'!S$5</f>
        <v>0.21</v>
      </c>
      <c r="Z24" s="40">
        <f>'Th7-10'!P$4</f>
        <v>17</v>
      </c>
      <c r="AA24" s="38">
        <f>'Th7-10'!Q$4</f>
        <v>37.06</v>
      </c>
      <c r="AB24" s="38">
        <f>'Th7-10'!R$4</f>
        <v>44.71</v>
      </c>
      <c r="AC24" s="48">
        <f>'Th7-10'!S$4</f>
        <v>0.76</v>
      </c>
      <c r="AD24" s="40">
        <f>'Th7-10'!L$16</f>
        <v>10</v>
      </c>
      <c r="AE24" s="38">
        <f>'Th7-10'!M$16</f>
        <v>34.6</v>
      </c>
      <c r="AF24" s="38">
        <f>'Th7-10'!N$16</f>
        <v>36</v>
      </c>
      <c r="AG24" s="48">
        <f>'Th7-10'!O$16</f>
        <v>0.36</v>
      </c>
      <c r="AH24" s="40">
        <f>'Th7-10'!L$17</f>
        <v>12</v>
      </c>
      <c r="AI24" s="38">
        <f>'Th7-10'!M$17</f>
        <v>44.75</v>
      </c>
      <c r="AJ24" s="38">
        <f>'Th7-10'!N$17</f>
        <v>45.78</v>
      </c>
      <c r="AK24" s="48">
        <f>'Th7-10'!O$17</f>
        <v>0.54</v>
      </c>
      <c r="AL24" s="38">
        <f>'Th7-10'!L$18</f>
        <v>27</v>
      </c>
      <c r="AM24" s="38">
        <f>'Th7-10'!M$18</f>
        <v>41.04</v>
      </c>
      <c r="AN24" s="38">
        <f>'Th7-10'!N$18</f>
        <v>58.15</v>
      </c>
      <c r="AO24" s="47">
        <f>'Th7-10'!O$18</f>
        <v>1.57</v>
      </c>
      <c r="AP24" s="42">
        <f>'Th7-10'!P$11</f>
        <v>10</v>
      </c>
      <c r="AQ24" s="41">
        <f>'Th7-10'!Q$11</f>
        <v>88.5</v>
      </c>
      <c r="AR24" s="41">
        <f>'Th7-10'!R$11</f>
        <v>129</v>
      </c>
      <c r="AS24" s="45">
        <f>'Th7-10'!S$11</f>
        <v>1.29</v>
      </c>
      <c r="AT24" s="43">
        <f>'Th7-10'!P$10</f>
        <v>12</v>
      </c>
      <c r="AU24" s="41">
        <f>'Th7-10'!Q$10</f>
        <v>67.33</v>
      </c>
      <c r="AV24" s="41">
        <f>'Th7-10'!R$10</f>
        <v>224.17</v>
      </c>
      <c r="AW24" s="45">
        <f>'Th7-10'!S$10</f>
        <v>2.69</v>
      </c>
      <c r="AX24" s="43">
        <f>'Th7-10'!P$17</f>
        <v>6</v>
      </c>
      <c r="AY24" s="41">
        <f>'Th7-10'!Q$17</f>
        <v>100.33</v>
      </c>
      <c r="AZ24" s="41">
        <f>'Th7-10'!R$17</f>
        <v>250.77</v>
      </c>
      <c r="BA24" s="45">
        <f>'Th7-10'!S$17</f>
        <v>1.5</v>
      </c>
      <c r="BB24" s="43">
        <f>'Th7-10'!P$16</f>
        <v>14</v>
      </c>
      <c r="BC24" s="41">
        <f>'Th7-10'!Q$16</f>
        <v>83.14</v>
      </c>
      <c r="BD24" s="41">
        <f>'Th7-10'!R$16</f>
        <v>214.39</v>
      </c>
      <c r="BE24" s="45">
        <f>'Th7-10'!S$16</f>
        <v>3</v>
      </c>
      <c r="BF24" s="43">
        <f>'Th7-10'!P$15</f>
        <v>19</v>
      </c>
      <c r="BG24" s="41">
        <f>'Th7-10'!Q$15</f>
        <v>55.05</v>
      </c>
      <c r="BH24" s="41">
        <f>'Th7-10'!R$15</f>
        <v>204.74</v>
      </c>
      <c r="BI24" s="44">
        <f>'Th7-10'!S$15</f>
        <v>3.89</v>
      </c>
    </row>
    <row r="25" spans="1:61">
      <c r="B25" s="79"/>
      <c r="C25" s="80"/>
      <c r="D25" s="80"/>
      <c r="E25" s="81"/>
      <c r="F25" s="80"/>
      <c r="G25" s="80"/>
      <c r="H25" s="80"/>
      <c r="I25" s="81"/>
      <c r="J25" s="80"/>
      <c r="K25" s="80"/>
      <c r="L25" s="80"/>
      <c r="M25" s="81"/>
      <c r="N25" s="80"/>
      <c r="O25" s="80"/>
      <c r="P25" s="80"/>
      <c r="Q25" s="81"/>
      <c r="R25" s="80"/>
      <c r="S25" s="80"/>
      <c r="T25" s="80"/>
      <c r="U25" s="82"/>
      <c r="V25" s="79"/>
      <c r="W25" s="80"/>
      <c r="X25" s="80"/>
      <c r="Y25" s="81"/>
      <c r="Z25" s="80"/>
      <c r="AA25" s="80"/>
      <c r="AB25" s="80"/>
      <c r="AC25" s="81"/>
      <c r="AD25" s="80"/>
      <c r="AE25" s="80"/>
      <c r="AF25" s="80"/>
      <c r="AG25" s="81"/>
      <c r="AH25" s="80"/>
      <c r="AI25" s="80"/>
      <c r="AJ25" s="80"/>
      <c r="AK25" s="81"/>
      <c r="AL25" s="80"/>
      <c r="AM25" s="80"/>
      <c r="AN25" s="80"/>
      <c r="AO25" s="82"/>
      <c r="AP25" s="79"/>
      <c r="AQ25" s="80"/>
      <c r="AR25" s="80"/>
      <c r="AS25" s="81"/>
      <c r="AT25" s="80"/>
      <c r="AU25" s="80"/>
      <c r="AV25" s="80"/>
      <c r="AW25" s="81"/>
      <c r="AX25" s="80"/>
      <c r="AY25" s="80"/>
      <c r="AZ25" s="80"/>
      <c r="BA25" s="81"/>
      <c r="BB25" s="80"/>
      <c r="BC25" s="80"/>
      <c r="BD25" s="80"/>
      <c r="BE25" s="81"/>
      <c r="BF25" s="80"/>
      <c r="BG25" s="80"/>
      <c r="BH25" s="80"/>
      <c r="BI25" s="82"/>
    </row>
    <row r="26" spans="1:61">
      <c r="A26" s="107" t="s">
        <v>89</v>
      </c>
      <c r="B26" s="79">
        <f>COUNT(B3:B24)</f>
        <v>20</v>
      </c>
      <c r="C26" s="80">
        <f t="shared" ref="C26:BI26" si="0">COUNT(C3:C24)</f>
        <v>20</v>
      </c>
      <c r="D26" s="80">
        <f t="shared" si="0"/>
        <v>20</v>
      </c>
      <c r="E26" s="85">
        <f t="shared" si="0"/>
        <v>20</v>
      </c>
      <c r="F26" s="86">
        <f t="shared" si="0"/>
        <v>20</v>
      </c>
      <c r="G26" s="80">
        <f t="shared" si="0"/>
        <v>20</v>
      </c>
      <c r="H26" s="80">
        <f t="shared" si="0"/>
        <v>20</v>
      </c>
      <c r="I26" s="85">
        <f t="shared" si="0"/>
        <v>20</v>
      </c>
      <c r="J26" s="86">
        <f t="shared" si="0"/>
        <v>18</v>
      </c>
      <c r="K26" s="80">
        <f t="shared" si="0"/>
        <v>18</v>
      </c>
      <c r="L26" s="80">
        <f t="shared" si="0"/>
        <v>18</v>
      </c>
      <c r="M26" s="85">
        <f t="shared" si="0"/>
        <v>18</v>
      </c>
      <c r="N26" s="86">
        <f t="shared" si="0"/>
        <v>20</v>
      </c>
      <c r="O26" s="80">
        <f t="shared" si="0"/>
        <v>20</v>
      </c>
      <c r="P26" s="80">
        <f t="shared" si="0"/>
        <v>20</v>
      </c>
      <c r="Q26" s="85">
        <f t="shared" si="0"/>
        <v>20</v>
      </c>
      <c r="R26" s="86">
        <f t="shared" si="0"/>
        <v>19</v>
      </c>
      <c r="S26" s="80">
        <f t="shared" si="0"/>
        <v>19</v>
      </c>
      <c r="T26" s="80">
        <f t="shared" si="0"/>
        <v>19</v>
      </c>
      <c r="U26" s="88">
        <f t="shared" si="0"/>
        <v>19</v>
      </c>
      <c r="V26" s="79">
        <f t="shared" si="0"/>
        <v>20</v>
      </c>
      <c r="W26" s="80">
        <f t="shared" si="0"/>
        <v>20</v>
      </c>
      <c r="X26" s="80">
        <f t="shared" si="0"/>
        <v>20</v>
      </c>
      <c r="Y26" s="85">
        <f t="shared" si="0"/>
        <v>20</v>
      </c>
      <c r="Z26" s="86">
        <f t="shared" si="0"/>
        <v>20</v>
      </c>
      <c r="AA26" s="80">
        <f t="shared" si="0"/>
        <v>20</v>
      </c>
      <c r="AB26" s="80">
        <f t="shared" si="0"/>
        <v>20</v>
      </c>
      <c r="AC26" s="85">
        <f t="shared" si="0"/>
        <v>20</v>
      </c>
      <c r="AD26" s="86">
        <f t="shared" si="0"/>
        <v>19</v>
      </c>
      <c r="AE26" s="80">
        <f t="shared" si="0"/>
        <v>19</v>
      </c>
      <c r="AF26" s="80">
        <f t="shared" si="0"/>
        <v>19</v>
      </c>
      <c r="AG26" s="85">
        <f t="shared" si="0"/>
        <v>19</v>
      </c>
      <c r="AH26" s="86">
        <f t="shared" si="0"/>
        <v>20</v>
      </c>
      <c r="AI26" s="80">
        <f t="shared" si="0"/>
        <v>20</v>
      </c>
      <c r="AJ26" s="80">
        <f t="shared" si="0"/>
        <v>20</v>
      </c>
      <c r="AK26" s="85">
        <f t="shared" si="0"/>
        <v>20</v>
      </c>
      <c r="AL26" s="86">
        <f t="shared" si="0"/>
        <v>19</v>
      </c>
      <c r="AM26" s="80">
        <f t="shared" si="0"/>
        <v>19</v>
      </c>
      <c r="AN26" s="80">
        <f t="shared" si="0"/>
        <v>19</v>
      </c>
      <c r="AO26" s="88">
        <f t="shared" si="0"/>
        <v>19</v>
      </c>
      <c r="AP26" s="79">
        <f t="shared" si="0"/>
        <v>20</v>
      </c>
      <c r="AQ26" s="80">
        <f t="shared" si="0"/>
        <v>20</v>
      </c>
      <c r="AR26" s="80">
        <f t="shared" si="0"/>
        <v>20</v>
      </c>
      <c r="AS26" s="85">
        <f t="shared" si="0"/>
        <v>20</v>
      </c>
      <c r="AT26" s="86">
        <f t="shared" si="0"/>
        <v>18</v>
      </c>
      <c r="AU26" s="80">
        <f t="shared" si="0"/>
        <v>18</v>
      </c>
      <c r="AV26" s="80">
        <f t="shared" si="0"/>
        <v>18</v>
      </c>
      <c r="AW26" s="85">
        <f t="shared" si="0"/>
        <v>18</v>
      </c>
      <c r="AX26" s="86">
        <f t="shared" si="0"/>
        <v>20</v>
      </c>
      <c r="AY26" s="80">
        <f t="shared" si="0"/>
        <v>20</v>
      </c>
      <c r="AZ26" s="80">
        <f t="shared" si="0"/>
        <v>20</v>
      </c>
      <c r="BA26" s="85">
        <f t="shared" si="0"/>
        <v>20</v>
      </c>
      <c r="BB26" s="86">
        <f t="shared" si="0"/>
        <v>20</v>
      </c>
      <c r="BC26" s="80">
        <f t="shared" si="0"/>
        <v>20</v>
      </c>
      <c r="BD26" s="80">
        <f t="shared" si="0"/>
        <v>20</v>
      </c>
      <c r="BE26" s="85">
        <f t="shared" si="0"/>
        <v>20</v>
      </c>
      <c r="BF26" s="86">
        <f t="shared" si="0"/>
        <v>20</v>
      </c>
      <c r="BG26" s="80">
        <f t="shared" si="0"/>
        <v>20</v>
      </c>
      <c r="BH26" s="80">
        <f t="shared" si="0"/>
        <v>20</v>
      </c>
      <c r="BI26" s="88">
        <f t="shared" si="0"/>
        <v>20</v>
      </c>
    </row>
    <row r="27" spans="1:61">
      <c r="A27" s="107" t="s">
        <v>90</v>
      </c>
      <c r="B27" s="83">
        <f>AVERAGE(B3:B24)</f>
        <v>9.85</v>
      </c>
      <c r="C27" s="84">
        <f t="shared" ref="C27:BI27" si="1">AVERAGE(C3:C24)</f>
        <v>171.51849999999996</v>
      </c>
      <c r="D27" s="84">
        <f t="shared" si="1"/>
        <v>235.87850000000003</v>
      </c>
      <c r="E27" s="81">
        <f t="shared" si="1"/>
        <v>2.3645000000000005</v>
      </c>
      <c r="F27" s="87">
        <f t="shared" si="1"/>
        <v>20.7</v>
      </c>
      <c r="G27" s="84">
        <f t="shared" si="1"/>
        <v>168.39794999999998</v>
      </c>
      <c r="H27" s="84">
        <f t="shared" si="1"/>
        <v>221.24675000000002</v>
      </c>
      <c r="I27" s="81">
        <f t="shared" si="1"/>
        <v>4.5317000000000007</v>
      </c>
      <c r="J27" s="87">
        <f t="shared" si="1"/>
        <v>11.222222222222221</v>
      </c>
      <c r="K27" s="84">
        <f t="shared" si="1"/>
        <v>173.32</v>
      </c>
      <c r="L27" s="84">
        <f t="shared" si="1"/>
        <v>224.63033333333334</v>
      </c>
      <c r="M27" s="81">
        <f t="shared" si="1"/>
        <v>2.2738888888888891</v>
      </c>
      <c r="N27" s="87">
        <f t="shared" si="1"/>
        <v>19.649999999999999</v>
      </c>
      <c r="O27" s="84">
        <f t="shared" si="1"/>
        <v>168.66154999999998</v>
      </c>
      <c r="P27" s="84">
        <f t="shared" si="1"/>
        <v>229.50129999999999</v>
      </c>
      <c r="Q27" s="81">
        <f t="shared" si="1"/>
        <v>4.4854350000000007</v>
      </c>
      <c r="R27" s="87">
        <f t="shared" si="1"/>
        <v>30.894736842105264</v>
      </c>
      <c r="S27" s="84">
        <f t="shared" si="1"/>
        <v>165.85331578947367</v>
      </c>
      <c r="T27" s="84">
        <f t="shared" si="1"/>
        <v>215.35652631578949</v>
      </c>
      <c r="U27" s="82">
        <f t="shared" si="1"/>
        <v>6.564210526315791</v>
      </c>
      <c r="V27" s="83">
        <f t="shared" si="1"/>
        <v>9.75</v>
      </c>
      <c r="W27" s="84">
        <f t="shared" si="1"/>
        <v>34.846700000000006</v>
      </c>
      <c r="X27" s="84">
        <f t="shared" si="1"/>
        <v>42.729749999999996</v>
      </c>
      <c r="Y27" s="81">
        <f t="shared" si="1"/>
        <v>0.35674500000000003</v>
      </c>
      <c r="Z27" s="87">
        <f t="shared" si="1"/>
        <v>14.75</v>
      </c>
      <c r="AA27" s="84">
        <f t="shared" si="1"/>
        <v>36.026449999999997</v>
      </c>
      <c r="AB27" s="84">
        <f t="shared" si="1"/>
        <v>53.271349999999998</v>
      </c>
      <c r="AC27" s="81">
        <f t="shared" si="1"/>
        <v>0.81400000000000006</v>
      </c>
      <c r="AD27" s="87">
        <f t="shared" si="1"/>
        <v>7.7368421052631575</v>
      </c>
      <c r="AE27" s="84">
        <f t="shared" si="1"/>
        <v>39.091842105263161</v>
      </c>
      <c r="AF27" s="84">
        <f t="shared" si="1"/>
        <v>113.39942105263158</v>
      </c>
      <c r="AG27" s="81">
        <f t="shared" si="1"/>
        <v>0.97336842105263177</v>
      </c>
      <c r="AH27" s="87">
        <f t="shared" si="1"/>
        <v>15.75</v>
      </c>
      <c r="AI27" s="84">
        <f t="shared" si="1"/>
        <v>41.01809999999999</v>
      </c>
      <c r="AJ27" s="84">
        <f t="shared" si="1"/>
        <v>104.29949999999999</v>
      </c>
      <c r="AK27" s="81">
        <f t="shared" si="1"/>
        <v>1.1713750000000001</v>
      </c>
      <c r="AL27" s="87">
        <f t="shared" si="1"/>
        <v>25.210526315789473</v>
      </c>
      <c r="AM27" s="84">
        <f t="shared" si="1"/>
        <v>38.636821052631582</v>
      </c>
      <c r="AN27" s="84">
        <f t="shared" si="1"/>
        <v>94.566884210526339</v>
      </c>
      <c r="AO27" s="82">
        <f t="shared" si="1"/>
        <v>2.4242105263157891</v>
      </c>
      <c r="AP27" s="83">
        <f t="shared" si="1"/>
        <v>7.6</v>
      </c>
      <c r="AQ27" s="84">
        <f t="shared" si="1"/>
        <v>52.557099999999991</v>
      </c>
      <c r="AR27" s="84">
        <f t="shared" si="1"/>
        <v>121.78035</v>
      </c>
      <c r="AS27" s="81">
        <f t="shared" si="1"/>
        <v>0.87668999999999975</v>
      </c>
      <c r="AT27" s="87">
        <f t="shared" si="1"/>
        <v>16.333333333333332</v>
      </c>
      <c r="AU27" s="84">
        <f t="shared" si="1"/>
        <v>49.784555555555563</v>
      </c>
      <c r="AV27" s="84">
        <f t="shared" si="1"/>
        <v>132.93261111111113</v>
      </c>
      <c r="AW27" s="81">
        <f t="shared" si="1"/>
        <v>2.0061111111111112</v>
      </c>
      <c r="AX27" s="87">
        <f t="shared" si="1"/>
        <v>8.75</v>
      </c>
      <c r="AY27" s="84">
        <f t="shared" si="1"/>
        <v>57.633574999999993</v>
      </c>
      <c r="AZ27" s="84">
        <f t="shared" si="1"/>
        <v>159.33629999999999</v>
      </c>
      <c r="BA27" s="81">
        <f t="shared" si="1"/>
        <v>1.1480350000000001</v>
      </c>
      <c r="BB27" s="87">
        <f t="shared" si="1"/>
        <v>14.4</v>
      </c>
      <c r="BC27" s="84">
        <f t="shared" si="1"/>
        <v>52.77</v>
      </c>
      <c r="BD27" s="84">
        <f t="shared" si="1"/>
        <v>134.96950000000001</v>
      </c>
      <c r="BE27" s="81">
        <f t="shared" si="1"/>
        <v>1.9155000000000002</v>
      </c>
      <c r="BF27" s="87">
        <f t="shared" si="1"/>
        <v>23.1</v>
      </c>
      <c r="BG27" s="84">
        <f t="shared" si="1"/>
        <v>48.525500000000001</v>
      </c>
      <c r="BH27" s="84">
        <f t="shared" si="1"/>
        <v>132.97575000000001</v>
      </c>
      <c r="BI27" s="82">
        <f t="shared" si="1"/>
        <v>2.9880000000000004</v>
      </c>
    </row>
    <row r="28" spans="1:61">
      <c r="A28" s="107" t="s">
        <v>91</v>
      </c>
      <c r="B28" s="83">
        <f>_xlfn.VAR.P(B3:B24)</f>
        <v>2.1274999999999999</v>
      </c>
      <c r="C28" s="80">
        <f t="shared" ref="C28:BI28" si="2">_xlfn.VAR.P(C3:C24)</f>
        <v>1248.647792750015</v>
      </c>
      <c r="D28" s="80">
        <f t="shared" si="2"/>
        <v>35260.872482749975</v>
      </c>
      <c r="E28" s="81">
        <f t="shared" si="2"/>
        <v>4.4990647500000014</v>
      </c>
      <c r="F28" s="87">
        <f t="shared" si="2"/>
        <v>19.21</v>
      </c>
      <c r="G28" s="80">
        <f t="shared" si="2"/>
        <v>1155.5908378475067</v>
      </c>
      <c r="H28" s="80">
        <f t="shared" si="2"/>
        <v>30480.869835687474</v>
      </c>
      <c r="I28" s="81">
        <f t="shared" si="2"/>
        <v>12.578284909999994</v>
      </c>
      <c r="J28" s="87">
        <f t="shared" si="2"/>
        <v>27.283950617283949</v>
      </c>
      <c r="K28" s="80">
        <f t="shared" si="2"/>
        <v>1331.6752555555618</v>
      </c>
      <c r="L28" s="80">
        <f t="shared" si="2"/>
        <v>39443.645359666662</v>
      </c>
      <c r="M28" s="81">
        <f t="shared" si="2"/>
        <v>2.9694904320987647</v>
      </c>
      <c r="N28" s="87">
        <f t="shared" si="2"/>
        <v>2.6275000000000008</v>
      </c>
      <c r="O28" s="80">
        <f t="shared" si="2"/>
        <v>835.42902764750647</v>
      </c>
      <c r="P28" s="80">
        <f t="shared" si="2"/>
        <v>28923.121171810013</v>
      </c>
      <c r="Q28" s="81">
        <f t="shared" si="2"/>
        <v>10.381619845274997</v>
      </c>
      <c r="R28" s="87">
        <f t="shared" si="2"/>
        <v>17.252077562326871</v>
      </c>
      <c r="S28" s="80">
        <f t="shared" si="2"/>
        <v>1129.6698171634412</v>
      </c>
      <c r="T28" s="80">
        <f t="shared" si="2"/>
        <v>15586.018312038766</v>
      </c>
      <c r="U28" s="82">
        <f t="shared" si="2"/>
        <v>11.179161218836535</v>
      </c>
      <c r="V28" s="83">
        <f t="shared" si="2"/>
        <v>55.387500000000003</v>
      </c>
      <c r="W28" s="80">
        <f t="shared" si="2"/>
        <v>122.76607640999995</v>
      </c>
      <c r="X28" s="80">
        <f t="shared" si="2"/>
        <v>945.97039618750011</v>
      </c>
      <c r="Y28" s="81">
        <f t="shared" si="2"/>
        <v>8.5135185475E-2</v>
      </c>
      <c r="Z28" s="87">
        <f t="shared" si="2"/>
        <v>16.387499999999999</v>
      </c>
      <c r="AA28" s="80">
        <f t="shared" si="2"/>
        <v>120.7623284474999</v>
      </c>
      <c r="AB28" s="80">
        <f t="shared" si="2"/>
        <v>863.95046662750076</v>
      </c>
      <c r="AC28" s="81">
        <f t="shared" si="2"/>
        <v>0.32755399999999979</v>
      </c>
      <c r="AD28" s="87">
        <f t="shared" si="2"/>
        <v>9.878116343490305</v>
      </c>
      <c r="AE28" s="80">
        <f t="shared" si="2"/>
        <v>479.56236634349062</v>
      </c>
      <c r="AF28" s="80">
        <f t="shared" si="2"/>
        <v>69882.608507085853</v>
      </c>
      <c r="AG28" s="81">
        <f t="shared" si="2"/>
        <v>3.7392779168975068</v>
      </c>
      <c r="AH28" s="87">
        <f t="shared" si="2"/>
        <v>79.387500000000003</v>
      </c>
      <c r="AI28" s="80">
        <f t="shared" si="2"/>
        <v>608.0818605900015</v>
      </c>
      <c r="AJ28" s="80">
        <f t="shared" si="2"/>
        <v>48475.966644750006</v>
      </c>
      <c r="AK28" s="81">
        <f t="shared" si="2"/>
        <v>2.9719859218750004</v>
      </c>
      <c r="AL28" s="87">
        <f t="shared" si="2"/>
        <v>50.060941828254848</v>
      </c>
      <c r="AM28" s="80">
        <f t="shared" si="2"/>
        <v>348.90147821850451</v>
      </c>
      <c r="AN28" s="80">
        <f t="shared" si="2"/>
        <v>24366.23467120975</v>
      </c>
      <c r="AO28" s="82">
        <f t="shared" si="2"/>
        <v>13.682255955678672</v>
      </c>
      <c r="AP28" s="83">
        <f t="shared" si="2"/>
        <v>11.24</v>
      </c>
      <c r="AQ28" s="80">
        <f t="shared" si="2"/>
        <v>405.90775029000071</v>
      </c>
      <c r="AR28" s="80">
        <f t="shared" si="2"/>
        <v>3422.4766583275027</v>
      </c>
      <c r="AS28" s="81">
        <f t="shared" si="2"/>
        <v>0.1986609659000004</v>
      </c>
      <c r="AT28" s="87">
        <f t="shared" si="2"/>
        <v>69.222222222222229</v>
      </c>
      <c r="AU28" s="80">
        <f t="shared" si="2"/>
        <v>250.85932891357965</v>
      </c>
      <c r="AV28" s="80">
        <f t="shared" si="2"/>
        <v>2265.6141781265401</v>
      </c>
      <c r="AW28" s="81">
        <f t="shared" si="2"/>
        <v>1.0554793209876538</v>
      </c>
      <c r="AX28" s="87">
        <f t="shared" si="2"/>
        <v>17.287500000000001</v>
      </c>
      <c r="AY28" s="80">
        <f t="shared" si="2"/>
        <v>596.00561478187444</v>
      </c>
      <c r="AZ28" s="80">
        <f t="shared" si="2"/>
        <v>13059.916291710007</v>
      </c>
      <c r="BA28" s="81">
        <f t="shared" si="2"/>
        <v>0.3431507632750001</v>
      </c>
      <c r="BB28" s="87">
        <f t="shared" si="2"/>
        <v>9.34</v>
      </c>
      <c r="BC28" s="80">
        <f t="shared" si="2"/>
        <v>287.63735999999977</v>
      </c>
      <c r="BD28" s="80">
        <f t="shared" si="2"/>
        <v>2644.7384247499958</v>
      </c>
      <c r="BE28" s="81">
        <f t="shared" si="2"/>
        <v>0.70377475</v>
      </c>
      <c r="BF28" s="87">
        <f t="shared" si="2"/>
        <v>81.39</v>
      </c>
      <c r="BG28" s="80">
        <f t="shared" si="2"/>
        <v>268.14947224999952</v>
      </c>
      <c r="BH28" s="80">
        <f t="shared" si="2"/>
        <v>1099.0657281874958</v>
      </c>
      <c r="BI28" s="82">
        <f t="shared" si="2"/>
        <v>1.7822660000000019</v>
      </c>
    </row>
    <row r="29" spans="1:61">
      <c r="A29" s="107" t="s">
        <v>92</v>
      </c>
      <c r="B29" s="83">
        <f>_xlfn.STDEV.P(B3:B24)</f>
        <v>1.4585952145814822</v>
      </c>
      <c r="C29" s="84">
        <f t="shared" ref="C29:BI29" si="3">_xlfn.STDEV.P(C3:C24)</f>
        <v>35.336210786529094</v>
      </c>
      <c r="D29" s="84">
        <f t="shared" si="3"/>
        <v>187.77878602959913</v>
      </c>
      <c r="E29" s="81">
        <f t="shared" si="3"/>
        <v>2.1210998915656947</v>
      </c>
      <c r="F29" s="87">
        <f t="shared" si="3"/>
        <v>4.3829214001622256</v>
      </c>
      <c r="G29" s="84">
        <f t="shared" si="3"/>
        <v>33.993982376995881</v>
      </c>
      <c r="H29" s="84">
        <f t="shared" si="3"/>
        <v>174.58771387382183</v>
      </c>
      <c r="I29" s="81">
        <f t="shared" si="3"/>
        <v>3.5465877840538496</v>
      </c>
      <c r="J29" s="87">
        <f t="shared" si="3"/>
        <v>5.2234041215747373</v>
      </c>
      <c r="K29" s="84">
        <f t="shared" si="3"/>
        <v>36.492125939105847</v>
      </c>
      <c r="L29" s="84">
        <f t="shared" si="3"/>
        <v>198.60424305554668</v>
      </c>
      <c r="M29" s="81">
        <f t="shared" si="3"/>
        <v>1.723220946976552</v>
      </c>
      <c r="N29" s="87">
        <f t="shared" si="3"/>
        <v>1.620956507744733</v>
      </c>
      <c r="O29" s="84">
        <f t="shared" si="3"/>
        <v>28.903789157262867</v>
      </c>
      <c r="P29" s="84">
        <f t="shared" si="3"/>
        <v>170.06798985055951</v>
      </c>
      <c r="Q29" s="81">
        <f t="shared" si="3"/>
        <v>3.2220521170947869</v>
      </c>
      <c r="R29" s="87">
        <f t="shared" si="3"/>
        <v>4.1535620330418652</v>
      </c>
      <c r="S29" s="84">
        <f t="shared" si="3"/>
        <v>33.610561095635418</v>
      </c>
      <c r="T29" s="84">
        <f t="shared" si="3"/>
        <v>124.84397587404355</v>
      </c>
      <c r="U29" s="82">
        <f t="shared" si="3"/>
        <v>3.3435252681618146</v>
      </c>
      <c r="V29" s="83">
        <f t="shared" si="3"/>
        <v>7.4422778771018754</v>
      </c>
      <c r="W29" s="84">
        <f t="shared" si="3"/>
        <v>11.079985397553552</v>
      </c>
      <c r="X29" s="84">
        <f t="shared" si="3"/>
        <v>30.756631743211091</v>
      </c>
      <c r="Y29" s="81">
        <f t="shared" si="3"/>
        <v>0.29177934381138088</v>
      </c>
      <c r="Z29" s="87">
        <f t="shared" si="3"/>
        <v>4.0481477245772544</v>
      </c>
      <c r="AA29" s="84">
        <f t="shared" si="3"/>
        <v>10.989191437385186</v>
      </c>
      <c r="AB29" s="84">
        <f t="shared" si="3"/>
        <v>29.393034321544633</v>
      </c>
      <c r="AC29" s="81">
        <f t="shared" si="3"/>
        <v>0.57232333518737444</v>
      </c>
      <c r="AD29" s="87">
        <f t="shared" si="3"/>
        <v>3.1429470793333931</v>
      </c>
      <c r="AE29" s="84">
        <f t="shared" si="3"/>
        <v>21.898912446591741</v>
      </c>
      <c r="AF29" s="84">
        <f t="shared" si="3"/>
        <v>264.35318894820591</v>
      </c>
      <c r="AG29" s="81">
        <f t="shared" si="3"/>
        <v>1.9337212614276926</v>
      </c>
      <c r="AH29" s="87">
        <f t="shared" si="3"/>
        <v>8.9099663299027121</v>
      </c>
      <c r="AI29" s="84">
        <f t="shared" si="3"/>
        <v>24.659315898661941</v>
      </c>
      <c r="AJ29" s="84">
        <f t="shared" si="3"/>
        <v>220.17258377179937</v>
      </c>
      <c r="AK29" s="81">
        <f t="shared" si="3"/>
        <v>1.7239448720521779</v>
      </c>
      <c r="AL29" s="87">
        <f t="shared" si="3"/>
        <v>7.0753757376025517</v>
      </c>
      <c r="AM29" s="84">
        <f t="shared" si="3"/>
        <v>18.678904631120758</v>
      </c>
      <c r="AN29" s="84">
        <f t="shared" si="3"/>
        <v>156.09687591752038</v>
      </c>
      <c r="AO29" s="82">
        <f t="shared" si="3"/>
        <v>3.6989533594895017</v>
      </c>
      <c r="AP29" s="83">
        <f t="shared" si="3"/>
        <v>3.3526109228480419</v>
      </c>
      <c r="AQ29" s="84">
        <f t="shared" si="3"/>
        <v>20.147152411445166</v>
      </c>
      <c r="AR29" s="84">
        <f t="shared" si="3"/>
        <v>58.501937218587067</v>
      </c>
      <c r="AS29" s="81">
        <f t="shared" si="3"/>
        <v>0.44571399562948483</v>
      </c>
      <c r="AT29" s="87">
        <f t="shared" si="3"/>
        <v>8.3199893162324567</v>
      </c>
      <c r="AU29" s="84">
        <f t="shared" si="3"/>
        <v>15.838539355432358</v>
      </c>
      <c r="AV29" s="84">
        <f t="shared" si="3"/>
        <v>47.59846823298561</v>
      </c>
      <c r="AW29" s="81">
        <f t="shared" si="3"/>
        <v>1.027365232518433</v>
      </c>
      <c r="AX29" s="87">
        <f t="shared" si="3"/>
        <v>4.157823950096974</v>
      </c>
      <c r="AY29" s="84">
        <f t="shared" si="3"/>
        <v>24.413226226410028</v>
      </c>
      <c r="AZ29" s="84">
        <f t="shared" si="3"/>
        <v>114.2799907757697</v>
      </c>
      <c r="BA29" s="81">
        <f t="shared" si="3"/>
        <v>0.58579071627587276</v>
      </c>
      <c r="BB29" s="87">
        <f t="shared" si="3"/>
        <v>3.056141357987225</v>
      </c>
      <c r="BC29" s="84">
        <f t="shared" si="3"/>
        <v>16.959874999539348</v>
      </c>
      <c r="BD29" s="84">
        <f t="shared" si="3"/>
        <v>51.427020375965746</v>
      </c>
      <c r="BE29" s="81">
        <f t="shared" si="3"/>
        <v>0.83891283814231854</v>
      </c>
      <c r="BF29" s="87">
        <f t="shared" si="3"/>
        <v>9.021640649017229</v>
      </c>
      <c r="BG29" s="84">
        <f t="shared" si="3"/>
        <v>16.375270142809843</v>
      </c>
      <c r="BH29" s="84">
        <f t="shared" si="3"/>
        <v>33.152160234100819</v>
      </c>
      <c r="BI29" s="82">
        <f t="shared" si="3"/>
        <v>1.3350153557169302</v>
      </c>
    </row>
    <row r="30" spans="1:61">
      <c r="B30" s="79"/>
      <c r="C30" s="80"/>
      <c r="D30" s="80"/>
      <c r="E30" s="81"/>
      <c r="F30" s="80"/>
      <c r="G30" s="80"/>
      <c r="H30" s="80"/>
      <c r="I30" s="81"/>
      <c r="J30" s="80"/>
      <c r="K30" s="80"/>
      <c r="L30" s="80"/>
      <c r="M30" s="81"/>
      <c r="N30" s="80"/>
      <c r="O30" s="80"/>
      <c r="P30" s="80"/>
      <c r="Q30" s="81"/>
      <c r="R30" s="80"/>
      <c r="S30" s="80"/>
      <c r="T30" s="80"/>
      <c r="U30" s="82"/>
      <c r="V30" s="79"/>
      <c r="W30" s="80"/>
      <c r="X30" s="80"/>
      <c r="Y30" s="81"/>
      <c r="Z30" s="80"/>
      <c r="AA30" s="80"/>
      <c r="AB30" s="80"/>
      <c r="AC30" s="81"/>
      <c r="AD30" s="80"/>
      <c r="AE30" s="80"/>
      <c r="AF30" s="80"/>
      <c r="AG30" s="81"/>
      <c r="AH30" s="80"/>
      <c r="AI30" s="80"/>
      <c r="AJ30" s="80"/>
      <c r="AK30" s="81"/>
      <c r="AL30" s="80"/>
      <c r="AM30" s="80"/>
      <c r="AN30" s="80"/>
      <c r="AO30" s="82"/>
      <c r="AP30" s="79"/>
      <c r="AQ30" s="80"/>
      <c r="AR30" s="80"/>
      <c r="AS30" s="85"/>
      <c r="AT30" s="86"/>
      <c r="AU30" s="80"/>
      <c r="AV30" s="80"/>
      <c r="AW30" s="85"/>
      <c r="AX30" s="86"/>
      <c r="AY30" s="80"/>
      <c r="AZ30" s="80"/>
      <c r="BA30" s="85"/>
      <c r="BB30" s="86"/>
      <c r="BC30" s="80"/>
      <c r="BD30" s="80"/>
      <c r="BE30" s="85"/>
      <c r="BF30" s="86"/>
      <c r="BG30" s="80"/>
      <c r="BH30" s="80"/>
      <c r="BI30" s="88"/>
    </row>
    <row r="31" spans="1:61" s="34" customFormat="1">
      <c r="A31" s="34" t="s">
        <v>25</v>
      </c>
      <c r="B31" s="54" t="s">
        <v>27</v>
      </c>
      <c r="C31" s="55"/>
      <c r="D31" s="55"/>
      <c r="E31" s="56"/>
      <c r="F31" s="55" t="s">
        <v>28</v>
      </c>
      <c r="G31" s="55"/>
      <c r="H31" s="55"/>
      <c r="I31" s="56"/>
      <c r="J31" s="55" t="s">
        <v>26</v>
      </c>
      <c r="K31" s="55"/>
      <c r="L31" s="55"/>
      <c r="M31" s="56"/>
      <c r="N31" s="55" t="s">
        <v>33</v>
      </c>
      <c r="O31" s="55"/>
      <c r="P31" s="55"/>
      <c r="Q31" s="56"/>
      <c r="R31" s="55" t="s">
        <v>34</v>
      </c>
      <c r="S31" s="55"/>
      <c r="T31" s="55"/>
      <c r="U31" s="57"/>
      <c r="V31" s="58" t="s">
        <v>35</v>
      </c>
      <c r="W31" s="59"/>
      <c r="X31" s="59"/>
      <c r="Y31" s="60"/>
      <c r="Z31" s="59" t="s">
        <v>36</v>
      </c>
      <c r="AA31" s="59"/>
      <c r="AB31" s="59"/>
      <c r="AC31" s="60"/>
      <c r="AD31" s="59" t="s">
        <v>37</v>
      </c>
      <c r="AE31" s="59"/>
      <c r="AF31" s="59"/>
      <c r="AG31" s="60"/>
      <c r="AH31" s="59" t="s">
        <v>38</v>
      </c>
      <c r="AI31" s="59"/>
      <c r="AJ31" s="59"/>
      <c r="AK31" s="60"/>
      <c r="AL31" s="59" t="s">
        <v>39</v>
      </c>
      <c r="AM31" s="59"/>
      <c r="AN31" s="59"/>
      <c r="AO31" s="61"/>
      <c r="AP31" s="62" t="s">
        <v>42</v>
      </c>
      <c r="AQ31" s="63"/>
      <c r="AR31" s="63"/>
      <c r="AS31" s="64"/>
      <c r="AT31" s="63" t="s">
        <v>43</v>
      </c>
      <c r="AU31" s="63"/>
      <c r="AV31" s="63"/>
      <c r="AW31" s="64"/>
      <c r="AX31" s="63" t="s">
        <v>40</v>
      </c>
      <c r="AY31" s="63"/>
      <c r="AZ31" s="63"/>
      <c r="BA31" s="64"/>
      <c r="BB31" s="63" t="s">
        <v>41</v>
      </c>
      <c r="BC31" s="63"/>
      <c r="BD31" s="63"/>
      <c r="BE31" s="64"/>
      <c r="BF31" s="63" t="s">
        <v>44</v>
      </c>
      <c r="BG31" s="63"/>
      <c r="BH31" s="63"/>
      <c r="BI31" s="65"/>
    </row>
    <row r="32" spans="1:61" s="66" customFormat="1" ht="14" thickBot="1">
      <c r="A32" s="89" t="s">
        <v>95</v>
      </c>
      <c r="B32" s="67" t="s">
        <v>29</v>
      </c>
      <c r="C32" s="68" t="s">
        <v>30</v>
      </c>
      <c r="D32" s="68" t="s">
        <v>31</v>
      </c>
      <c r="E32" s="69" t="s">
        <v>32</v>
      </c>
      <c r="F32" s="68" t="s">
        <v>29</v>
      </c>
      <c r="G32" s="68" t="s">
        <v>30</v>
      </c>
      <c r="H32" s="68" t="s">
        <v>31</v>
      </c>
      <c r="I32" s="69" t="s">
        <v>32</v>
      </c>
      <c r="J32" s="68" t="s">
        <v>29</v>
      </c>
      <c r="K32" s="68" t="s">
        <v>30</v>
      </c>
      <c r="L32" s="68" t="s">
        <v>31</v>
      </c>
      <c r="M32" s="69" t="s">
        <v>32</v>
      </c>
      <c r="N32" s="68" t="s">
        <v>29</v>
      </c>
      <c r="O32" s="68" t="s">
        <v>30</v>
      </c>
      <c r="P32" s="68" t="s">
        <v>31</v>
      </c>
      <c r="Q32" s="69" t="s">
        <v>32</v>
      </c>
      <c r="R32" s="68" t="s">
        <v>29</v>
      </c>
      <c r="S32" s="68" t="s">
        <v>30</v>
      </c>
      <c r="T32" s="68" t="s">
        <v>31</v>
      </c>
      <c r="U32" s="70" t="s">
        <v>32</v>
      </c>
      <c r="V32" s="71" t="s">
        <v>29</v>
      </c>
      <c r="W32" s="72" t="s">
        <v>30</v>
      </c>
      <c r="X32" s="72" t="s">
        <v>31</v>
      </c>
      <c r="Y32" s="73" t="s">
        <v>32</v>
      </c>
      <c r="Z32" s="72" t="s">
        <v>29</v>
      </c>
      <c r="AA32" s="72" t="s">
        <v>30</v>
      </c>
      <c r="AB32" s="72" t="s">
        <v>31</v>
      </c>
      <c r="AC32" s="73" t="s">
        <v>32</v>
      </c>
      <c r="AD32" s="72" t="s">
        <v>29</v>
      </c>
      <c r="AE32" s="72" t="s">
        <v>30</v>
      </c>
      <c r="AF32" s="72" t="s">
        <v>31</v>
      </c>
      <c r="AG32" s="73" t="s">
        <v>32</v>
      </c>
      <c r="AH32" s="72" t="s">
        <v>29</v>
      </c>
      <c r="AI32" s="72" t="s">
        <v>30</v>
      </c>
      <c r="AJ32" s="72" t="s">
        <v>31</v>
      </c>
      <c r="AK32" s="73" t="s">
        <v>32</v>
      </c>
      <c r="AL32" s="72" t="s">
        <v>29</v>
      </c>
      <c r="AM32" s="72" t="s">
        <v>30</v>
      </c>
      <c r="AN32" s="72" t="s">
        <v>31</v>
      </c>
      <c r="AO32" s="74" t="s">
        <v>32</v>
      </c>
      <c r="AP32" s="75" t="s">
        <v>29</v>
      </c>
      <c r="AQ32" s="76" t="s">
        <v>30</v>
      </c>
      <c r="AR32" s="76" t="s">
        <v>31</v>
      </c>
      <c r="AS32" s="77" t="s">
        <v>32</v>
      </c>
      <c r="AT32" s="76" t="s">
        <v>29</v>
      </c>
      <c r="AU32" s="76" t="s">
        <v>30</v>
      </c>
      <c r="AV32" s="76" t="s">
        <v>31</v>
      </c>
      <c r="AW32" s="77" t="s">
        <v>32</v>
      </c>
      <c r="AX32" s="76" t="s">
        <v>29</v>
      </c>
      <c r="AY32" s="76" t="s">
        <v>30</v>
      </c>
      <c r="AZ32" s="76" t="s">
        <v>31</v>
      </c>
      <c r="BA32" s="77" t="s">
        <v>32</v>
      </c>
      <c r="BB32" s="76" t="s">
        <v>29</v>
      </c>
      <c r="BC32" s="76" t="s">
        <v>30</v>
      </c>
      <c r="BD32" s="76" t="s">
        <v>31</v>
      </c>
      <c r="BE32" s="77" t="s">
        <v>32</v>
      </c>
      <c r="BF32" s="76" t="s">
        <v>29</v>
      </c>
      <c r="BG32" s="76" t="s">
        <v>30</v>
      </c>
      <c r="BH32" s="76" t="s">
        <v>31</v>
      </c>
      <c r="BI32" s="78" t="s">
        <v>32</v>
      </c>
    </row>
    <row r="33" spans="1:61">
      <c r="A33" s="53" t="s">
        <v>47</v>
      </c>
      <c r="B33" s="35">
        <f>'M2-5'!V$4</f>
        <v>10</v>
      </c>
      <c r="C33" s="36">
        <f>'M2-5'!W$4</f>
        <v>272.3</v>
      </c>
      <c r="D33" s="36">
        <f>'M2-5'!X$4</f>
        <v>567</v>
      </c>
      <c r="E33" s="51">
        <f>'M2-5'!Y$4</f>
        <v>5.67</v>
      </c>
      <c r="F33" s="37">
        <f>'M2-5'!V$5</f>
        <v>18</v>
      </c>
      <c r="G33" s="36">
        <f>'M2-5'!W$5</f>
        <v>249</v>
      </c>
      <c r="H33" s="36">
        <f>'M2-5'!X$5</f>
        <v>476</v>
      </c>
      <c r="I33" s="51">
        <f>'M2-5'!Y$5</f>
        <v>8.57</v>
      </c>
      <c r="J33" s="37">
        <f>'M2-5'!V$10</f>
        <v>9</v>
      </c>
      <c r="K33" s="36">
        <f>'M2-5'!W$10</f>
        <v>339.56</v>
      </c>
      <c r="L33" s="36">
        <f>'M2-5'!X$10</f>
        <v>855.6</v>
      </c>
      <c r="M33" s="51">
        <f>'M2-5'!Y$10</f>
        <v>7.7</v>
      </c>
      <c r="N33" s="37">
        <f>'M2-5'!V$11</f>
        <v>20</v>
      </c>
      <c r="O33" s="36">
        <f>'M2-5'!W$11</f>
        <v>244.15</v>
      </c>
      <c r="P33" s="36">
        <f>'M2-5'!X$11</f>
        <v>473.5</v>
      </c>
      <c r="Q33" s="51">
        <f>'M2-5'!Y$11</f>
        <v>9.4700000000000006</v>
      </c>
      <c r="R33" s="36">
        <f>'M2-5'!V$12</f>
        <v>30</v>
      </c>
      <c r="S33" s="36">
        <f>'M2-5'!W$12</f>
        <v>234.2</v>
      </c>
      <c r="T33" s="36">
        <f>'M2-5'!X$12</f>
        <v>139</v>
      </c>
      <c r="U33" s="50">
        <f>'M2-5'!Y$12</f>
        <v>4.17</v>
      </c>
      <c r="V33" s="39">
        <f>'M2-5'!Z$5</f>
        <v>6</v>
      </c>
      <c r="W33" s="38">
        <f>'M2-5'!AA$5</f>
        <v>40</v>
      </c>
      <c r="X33" s="38">
        <f>'M2-5'!AB$5</f>
        <v>50</v>
      </c>
      <c r="Y33" s="48">
        <f>'M2-5'!AC$5</f>
        <v>0.3</v>
      </c>
      <c r="Z33" s="40">
        <f>'M2-5'!Z$4</f>
        <v>19</v>
      </c>
      <c r="AA33" s="38">
        <f>'M2-5'!AA$4</f>
        <v>53.8</v>
      </c>
      <c r="AB33" s="38">
        <f>'M2-5'!AB$4</f>
        <v>78.900000000000006</v>
      </c>
      <c r="AC33" s="48">
        <f>'M2-5'!AC$4</f>
        <v>1.5</v>
      </c>
      <c r="AD33" s="40">
        <f>'M2-5'!V$16</f>
        <v>8</v>
      </c>
      <c r="AE33" s="38">
        <f>'M2-5'!W$16</f>
        <v>80</v>
      </c>
      <c r="AF33" s="38">
        <f>'M2-5'!X$16</f>
        <v>230</v>
      </c>
      <c r="AG33" s="48">
        <f>'M2-5'!Y$16</f>
        <v>1.84</v>
      </c>
      <c r="AH33" s="40">
        <f>'M2-5'!V$17</f>
        <v>14</v>
      </c>
      <c r="AI33" s="38">
        <f>'M2-5'!W$17</f>
        <v>57</v>
      </c>
      <c r="AJ33" s="38">
        <f>'M2-5'!X$17</f>
        <v>131.4</v>
      </c>
      <c r="AK33" s="48">
        <f>'M2-5'!Y$17</f>
        <v>1.84</v>
      </c>
      <c r="AL33" s="38">
        <f>'M2-5'!V$18</f>
        <v>24</v>
      </c>
      <c r="AM33" s="38">
        <f>'M2-5'!W$18</f>
        <v>60.8</v>
      </c>
      <c r="AN33" s="38">
        <f>'M2-5'!X$18</f>
        <v>130</v>
      </c>
      <c r="AO33" s="47">
        <f>'M2-5'!Y$18</f>
        <v>3.12</v>
      </c>
      <c r="AP33" s="42">
        <f>'M2-5'!Z$11</f>
        <v>9</v>
      </c>
      <c r="AQ33" s="41">
        <f>'M2-5'!AA$11</f>
        <v>47.78</v>
      </c>
      <c r="AR33" s="41">
        <f>'M2-5'!AB$11</f>
        <v>93.34</v>
      </c>
      <c r="AS33" s="45">
        <f>'M2-5'!AC$11</f>
        <v>0.84</v>
      </c>
      <c r="AT33" s="43">
        <f>'M2-5'!Z$10</f>
        <v>11</v>
      </c>
      <c r="AU33" s="41">
        <f>'M2-5'!AA$10</f>
        <v>50.09</v>
      </c>
      <c r="AV33" s="41">
        <f>'M2-5'!AB$10</f>
        <v>93.6</v>
      </c>
      <c r="AW33" s="45">
        <f>'M2-5'!AC$10</f>
        <v>1.03</v>
      </c>
      <c r="AX33" s="43">
        <f>'M2-5'!Z$17</f>
        <v>7</v>
      </c>
      <c r="AY33" s="41">
        <f>'M2-5'!AA$17</f>
        <v>104</v>
      </c>
      <c r="AZ33" s="41">
        <f>'M2-5'!AB$17</f>
        <v>238.6</v>
      </c>
      <c r="BA33" s="45">
        <f>'M2-5'!AC$17</f>
        <v>1.67</v>
      </c>
      <c r="BB33" s="43">
        <f>'M2-5'!Z$16</f>
        <v>15</v>
      </c>
      <c r="BC33" s="41">
        <f>'M2-5'!AA$16</f>
        <v>63.46</v>
      </c>
      <c r="BD33" s="41">
        <f>'M2-5'!AB$16</f>
        <v>146.69999999999999</v>
      </c>
      <c r="BE33" s="45">
        <f>'M2-5'!AC$16</f>
        <v>2.2000000000000002</v>
      </c>
      <c r="BF33" s="43">
        <f>'M2-5'!Z$15</f>
        <v>17</v>
      </c>
      <c r="BG33" s="41">
        <f>'M2-5'!AA$15</f>
        <v>63</v>
      </c>
      <c r="BH33" s="41">
        <f>'M2-5'!AB$15</f>
        <v>139</v>
      </c>
      <c r="BI33" s="44">
        <f>'M2-5'!AC$15</f>
        <v>2.37</v>
      </c>
    </row>
    <row r="34" spans="1:61">
      <c r="A34" s="53" t="s">
        <v>48</v>
      </c>
      <c r="B34" s="35">
        <f>'M2-5'!AF$4</f>
        <v>10</v>
      </c>
      <c r="C34" s="36">
        <f>'M2-5'!AG$4</f>
        <v>253.8</v>
      </c>
      <c r="D34" s="36">
        <f>'M2-5'!AH$4</f>
        <v>729</v>
      </c>
      <c r="E34" s="51">
        <f>'M2-5'!AI$4</f>
        <v>7.29</v>
      </c>
      <c r="F34" s="37">
        <f>'M2-5'!AF$5</f>
        <v>17</v>
      </c>
      <c r="G34" s="36">
        <f>'M2-5'!AG$5</f>
        <v>227.6</v>
      </c>
      <c r="H34" s="36">
        <f>'M2-5'!AH$5</f>
        <v>461.8</v>
      </c>
      <c r="I34" s="51">
        <f>'M2-5'!AI$5</f>
        <v>7.85</v>
      </c>
      <c r="J34" s="37">
        <f>'M2-5'!AF$10</f>
        <v>9</v>
      </c>
      <c r="K34" s="36">
        <f>'M2-5'!AG$10</f>
        <v>249.4</v>
      </c>
      <c r="L34" s="36">
        <f>'M2-5'!AH$10</f>
        <v>680</v>
      </c>
      <c r="M34" s="51">
        <f>'M2-5'!AI$10</f>
        <v>6.12</v>
      </c>
      <c r="N34" s="37">
        <f>'M2-5'!AF$11</f>
        <v>20</v>
      </c>
      <c r="O34" s="36">
        <f>'M2-5'!AG$11</f>
        <v>212.8</v>
      </c>
      <c r="P34" s="36">
        <f>'M2-5'!AH$11</f>
        <v>350</v>
      </c>
      <c r="Q34" s="51">
        <f>'M2-5'!AI$11</f>
        <v>7</v>
      </c>
      <c r="R34" s="36">
        <f>'M2-5'!AF$12</f>
        <v>27</v>
      </c>
      <c r="S34" s="36">
        <f>'M2-5'!AG$12</f>
        <v>238.4</v>
      </c>
      <c r="T34" s="36">
        <f>'M2-5'!AH$12</f>
        <v>498.9</v>
      </c>
      <c r="U34" s="50">
        <f>'M2-5'!AI$12</f>
        <v>13.47</v>
      </c>
      <c r="V34" s="39">
        <f>'M2-5'!AJ$5</f>
        <v>10</v>
      </c>
      <c r="W34" s="38">
        <f>'M2-5'!AK$5</f>
        <v>46.5</v>
      </c>
      <c r="X34" s="38">
        <f>'M2-5'!AL$5</f>
        <v>67</v>
      </c>
      <c r="Y34" s="48">
        <f>'M2-5'!AM$5</f>
        <v>0.67</v>
      </c>
      <c r="Z34" s="40">
        <f>'M2-5'!AJ$4</f>
        <v>18</v>
      </c>
      <c r="AA34" s="38">
        <f>'M2-5'!AK$4</f>
        <v>51.27</v>
      </c>
      <c r="AB34" s="38">
        <f>'M2-5'!AL$4</f>
        <v>80.55</v>
      </c>
      <c r="AC34" s="48">
        <f>'M2-5'!AM$4</f>
        <v>1.45</v>
      </c>
      <c r="AD34" s="40">
        <f>'M2-5'!AF$16</f>
        <v>4</v>
      </c>
      <c r="AE34" s="38">
        <f>'M2-5'!AG$16</f>
        <v>40.25</v>
      </c>
      <c r="AF34" s="38">
        <f>'M2-5'!AH$16</f>
        <v>40</v>
      </c>
      <c r="AG34" s="48">
        <f>'M2-5'!AI$16</f>
        <v>0.16</v>
      </c>
      <c r="AH34" s="40">
        <f>'M2-5'!AF$17</f>
        <v>10</v>
      </c>
      <c r="AI34" s="38">
        <f>'M2-5'!AG$17</f>
        <v>47.3</v>
      </c>
      <c r="AJ34" s="38">
        <f>'M2-5'!AH$17</f>
        <v>78</v>
      </c>
      <c r="AK34" s="48">
        <f>'M2-5'!AI$17</f>
        <v>0.78</v>
      </c>
      <c r="AL34" s="38">
        <f>'M2-5'!AF$18</f>
        <v>23</v>
      </c>
      <c r="AM34" s="38">
        <f>'M2-5'!AG$18</f>
        <v>49.7</v>
      </c>
      <c r="AN34" s="38">
        <f>'M2-5'!AH$18</f>
        <v>123.9</v>
      </c>
      <c r="AO34" s="47">
        <f>'M2-5'!AI$18</f>
        <v>2.85</v>
      </c>
      <c r="AP34" s="42">
        <f>'M2-5'!AJ$11</f>
        <v>7</v>
      </c>
      <c r="AQ34" s="41">
        <f>'M2-5'!AK$11</f>
        <v>30.43</v>
      </c>
      <c r="AR34" s="41">
        <f>'M2-5'!AL$11</f>
        <v>64.290000000000006</v>
      </c>
      <c r="AS34" s="45">
        <f>'M2-5'!AM$11</f>
        <v>0.45</v>
      </c>
      <c r="AT34" s="43">
        <f>'M2-5'!AJ$10</f>
        <v>10</v>
      </c>
      <c r="AU34" s="41">
        <f>'M2-5'!AK$10</f>
        <v>56.2</v>
      </c>
      <c r="AV34" s="41">
        <f>'M2-5'!AL$10</f>
        <v>126</v>
      </c>
      <c r="AW34" s="45">
        <f>'M2-5'!AM$10</f>
        <v>1.26</v>
      </c>
      <c r="AX34" s="43">
        <f>'M2-5'!AJ$17</f>
        <v>3</v>
      </c>
      <c r="AY34" s="41">
        <f>'M2-5'!AK$17</f>
        <v>55</v>
      </c>
      <c r="AZ34" s="41">
        <f>'M2-5'!AL$17</f>
        <v>103.3</v>
      </c>
      <c r="BA34" s="45">
        <f>'M2-5'!AM$17</f>
        <v>0.31</v>
      </c>
      <c r="BB34" s="43">
        <f>'M2-5'!AJ$16</f>
        <v>10</v>
      </c>
      <c r="BC34" s="41">
        <f>'M2-5'!AK$16</f>
        <v>49.2</v>
      </c>
      <c r="BD34" s="41">
        <f>'M2-5'!AL$16</f>
        <v>104</v>
      </c>
      <c r="BE34" s="45">
        <f>'M2-5'!AM$16</f>
        <v>1.04</v>
      </c>
      <c r="BF34" s="43">
        <f>'M2-5'!AJ$15</f>
        <v>12</v>
      </c>
      <c r="BG34" s="41">
        <f>'M2-5'!AK$15</f>
        <v>54.6</v>
      </c>
      <c r="BH34" s="41">
        <f>'M2-5'!AL$15</f>
        <v>99.16</v>
      </c>
      <c r="BI34" s="44">
        <f>'M2-5'!AM$15</f>
        <v>1.19</v>
      </c>
    </row>
    <row r="35" spans="1:61">
      <c r="A35" s="53" t="s">
        <v>51</v>
      </c>
      <c r="B35" s="35">
        <f>'M7-10'!V$4</f>
        <v>10</v>
      </c>
      <c r="C35" s="36">
        <f>'M7-10'!W$4</f>
        <v>237.1</v>
      </c>
      <c r="D35" s="36">
        <f>'M7-10'!X$4</f>
        <v>625</v>
      </c>
      <c r="E35" s="51">
        <f>'M7-10'!Y$4</f>
        <v>6.25</v>
      </c>
      <c r="F35" s="37">
        <f>'M7-10'!V$5</f>
        <v>20</v>
      </c>
      <c r="G35" s="36">
        <f>'M7-10'!W$5</f>
        <v>225.7</v>
      </c>
      <c r="H35" s="36">
        <f>'M7-10'!X$5</f>
        <v>474</v>
      </c>
      <c r="I35" s="51">
        <f>'M7-10'!Y$5</f>
        <v>9.48</v>
      </c>
      <c r="J35" s="90">
        <f>'M7-10'!V$10</f>
        <v>19</v>
      </c>
      <c r="K35" s="36">
        <f>'M7-10'!W$10</f>
        <v>192.05</v>
      </c>
      <c r="L35" s="36">
        <f>'M7-10'!X$10</f>
        <v>255.79</v>
      </c>
      <c r="M35" s="51">
        <f>'M7-10'!Y$10</f>
        <v>4.8600000000000003</v>
      </c>
      <c r="N35" s="37">
        <f>'M7-10'!V$11</f>
        <v>20</v>
      </c>
      <c r="O35" s="36">
        <f>'M7-10'!W$11</f>
        <v>221.75</v>
      </c>
      <c r="P35" s="36">
        <f>'M7-10'!X$11</f>
        <v>322.5</v>
      </c>
      <c r="Q35" s="51">
        <f>'M7-10'!Y$11</f>
        <v>6.45</v>
      </c>
      <c r="R35" s="91">
        <f>'M7-10'!V$12</f>
        <v>40</v>
      </c>
      <c r="S35" s="36">
        <f>'M7-10'!W$12</f>
        <v>225.3</v>
      </c>
      <c r="T35" s="36">
        <f>'M7-10'!X$12</f>
        <v>225</v>
      </c>
      <c r="U35" s="50">
        <f>'M7-10'!Y$12</f>
        <v>9</v>
      </c>
      <c r="V35" s="39">
        <f>'M7-10'!Z$5</f>
        <v>10</v>
      </c>
      <c r="W35" s="38">
        <f>'M7-10'!AA$5</f>
        <v>59.4</v>
      </c>
      <c r="X35" s="38">
        <f>'M7-10'!AB$5</f>
        <v>69</v>
      </c>
      <c r="Y35" s="48">
        <f>'M7-10'!AC$5</f>
        <v>0.69</v>
      </c>
      <c r="Z35" s="40">
        <f>'M7-10'!Z$4</f>
        <v>20</v>
      </c>
      <c r="AA35" s="38">
        <f>'M7-10'!AA$4</f>
        <v>64.8</v>
      </c>
      <c r="AB35" s="38">
        <f>'M7-10'!AB$4</f>
        <v>59.5</v>
      </c>
      <c r="AC35" s="48">
        <f>'M7-10'!AC$4</f>
        <v>1.19</v>
      </c>
      <c r="AD35" s="40">
        <f>'M7-10'!V$16</f>
        <v>10</v>
      </c>
      <c r="AE35" s="38">
        <f>'M7-10'!W$16</f>
        <v>47.7</v>
      </c>
      <c r="AF35" s="38">
        <f>'M7-10'!X$16</f>
        <v>88</v>
      </c>
      <c r="AG35" s="48">
        <f>'M7-10'!Y$16</f>
        <v>0.88</v>
      </c>
      <c r="AH35" s="40">
        <f>'M7-10'!V$17</f>
        <v>20</v>
      </c>
      <c r="AI35" s="38">
        <f>'M7-10'!W$17</f>
        <v>56.05</v>
      </c>
      <c r="AJ35" s="38">
        <f>'M7-10'!X$17</f>
        <v>88.5</v>
      </c>
      <c r="AK35" s="48">
        <f>'M7-10'!Y$17</f>
        <v>1.77</v>
      </c>
      <c r="AL35" s="38">
        <f>'M7-10'!V$18</f>
        <v>30</v>
      </c>
      <c r="AM35" s="38">
        <f>'M7-10'!W$18</f>
        <v>89.47</v>
      </c>
      <c r="AN35" s="38">
        <f>'M7-10'!X$18</f>
        <v>109</v>
      </c>
      <c r="AO35" s="47">
        <f>'M7-10'!Y$18</f>
        <v>3.27</v>
      </c>
      <c r="AP35" s="42">
        <f>'M7-10'!Z$11</f>
        <v>8</v>
      </c>
      <c r="AQ35" s="41">
        <f>'M7-10'!AA$11</f>
        <v>37.75</v>
      </c>
      <c r="AR35" s="41">
        <f>'M7-10'!AB$11</f>
        <v>38.75</v>
      </c>
      <c r="AS35" s="45">
        <f>'M7-10'!AC$11</f>
        <v>0.31</v>
      </c>
      <c r="AT35" s="90">
        <f>'M7-10'!Z$10</f>
        <v>40</v>
      </c>
      <c r="AU35" s="41">
        <f>'M7-10'!AA$10</f>
        <v>38.03</v>
      </c>
      <c r="AV35" s="41">
        <f>'M7-10'!AB$10</f>
        <v>74.5</v>
      </c>
      <c r="AW35" s="45">
        <f>'M7-10'!AC$10</f>
        <v>2.98</v>
      </c>
      <c r="AX35" s="43">
        <f>'M7-10'!Z$17</f>
        <v>10</v>
      </c>
      <c r="AY35" s="41">
        <f>'M7-10'!AA$17</f>
        <v>31.7</v>
      </c>
      <c r="AZ35" s="41">
        <f>'M7-10'!AB$17</f>
        <v>95.4</v>
      </c>
      <c r="BA35" s="45">
        <f>'M7-10'!AC$17</f>
        <v>0.95</v>
      </c>
      <c r="BB35" s="43">
        <f>'M7-10'!Z$16</f>
        <v>20</v>
      </c>
      <c r="BC35" s="41">
        <f>'M7-10'!AA$16</f>
        <v>44.95</v>
      </c>
      <c r="BD35" s="41">
        <f>'M7-10'!AB$16</f>
        <v>92</v>
      </c>
      <c r="BE35" s="45">
        <f>'M7-10'!AC$16</f>
        <v>1.84</v>
      </c>
      <c r="BF35" s="90">
        <f>'M7-10'!Z$15</f>
        <v>2</v>
      </c>
      <c r="BG35" s="108">
        <f>'M7-10'!AA$15</f>
        <v>127.5</v>
      </c>
      <c r="BH35" s="108">
        <f>'M7-10'!AB$15</f>
        <v>380</v>
      </c>
      <c r="BI35" s="44">
        <f>'M7-10'!AC$15</f>
        <v>0.76</v>
      </c>
    </row>
    <row r="36" spans="1:61">
      <c r="A36" s="53" t="s">
        <v>52</v>
      </c>
      <c r="B36" s="35">
        <f>'M7-10'!AF$4</f>
        <v>10</v>
      </c>
      <c r="C36" s="36">
        <f>'M7-10'!AG$4</f>
        <v>266.10000000000002</v>
      </c>
      <c r="D36" s="36">
        <f>'M7-10'!AH$4</f>
        <v>614</v>
      </c>
      <c r="E36" s="51">
        <f>'M7-10'!AI$4</f>
        <v>6.14</v>
      </c>
      <c r="F36" s="37">
        <f>'M7-10'!AF$5</f>
        <v>19</v>
      </c>
      <c r="G36" s="36">
        <f>'M7-10'!AG$5</f>
        <v>246.95</v>
      </c>
      <c r="H36" s="36">
        <f>'M7-10'!AH$5</f>
        <v>507.89</v>
      </c>
      <c r="I36" s="51">
        <f>'M7-10'!AI$5</f>
        <v>9.65</v>
      </c>
      <c r="J36" s="37">
        <f>'M7-10'!AF$10</f>
        <v>9</v>
      </c>
      <c r="K36" s="36">
        <f>'M7-10'!AG$10</f>
        <v>335</v>
      </c>
      <c r="L36" s="36">
        <f>'M7-10'!AH$10</f>
        <v>838.89</v>
      </c>
      <c r="M36" s="51">
        <f>'M7-10'!AI$10</f>
        <v>7.55</v>
      </c>
      <c r="N36" s="37">
        <f>'M7-10'!AF$11</f>
        <v>18</v>
      </c>
      <c r="O36" s="36">
        <f>'M7-10'!AG$11</f>
        <v>273.16000000000003</v>
      </c>
      <c r="P36" s="36">
        <f>'M7-10'!AH$11</f>
        <v>490.56</v>
      </c>
      <c r="Q36" s="51">
        <f>'M7-10'!AI$11</f>
        <v>8.83</v>
      </c>
      <c r="R36" s="36">
        <f>'M7-10'!AF$12</f>
        <v>30</v>
      </c>
      <c r="S36" s="36">
        <f>'M7-10'!AG$12</f>
        <v>216.56</v>
      </c>
      <c r="T36" s="36">
        <f>'M7-10'!AH$12</f>
        <v>425</v>
      </c>
      <c r="U36" s="50">
        <f>'M7-10'!AI$12</f>
        <v>12.75</v>
      </c>
      <c r="V36" s="39">
        <f>'M7-10'!AJ$5</f>
        <v>8</v>
      </c>
      <c r="W36" s="38">
        <f>'M7-10'!AK$5</f>
        <v>51</v>
      </c>
      <c r="X36" s="38">
        <f>'M7-10'!AL$5</f>
        <v>65</v>
      </c>
      <c r="Y36" s="48">
        <f>'M7-10'!AM$5</f>
        <v>0.52</v>
      </c>
      <c r="Z36" s="40">
        <f>'M7-10'!AJ$4</f>
        <v>14</v>
      </c>
      <c r="AA36" s="38">
        <f>'M7-10'!AK$4</f>
        <v>58.28</v>
      </c>
      <c r="AB36" s="38">
        <f>'M7-10'!AL$4</f>
        <v>102.86</v>
      </c>
      <c r="AC36" s="48">
        <f>'M7-10'!AM$4</f>
        <v>1.44</v>
      </c>
      <c r="AD36" s="40">
        <f>'M7-10'!AF$16</f>
        <v>9</v>
      </c>
      <c r="AE36" s="38">
        <f>'M7-10'!AG$16</f>
        <v>61.74</v>
      </c>
      <c r="AF36" s="38">
        <f>'M7-10'!AH$16</f>
        <v>118.8</v>
      </c>
      <c r="AG36" s="48">
        <f>'M7-10'!AI$16</f>
        <v>1.07</v>
      </c>
      <c r="AH36" s="40">
        <f>'M7-10'!AF$17</f>
        <v>13</v>
      </c>
      <c r="AI36" s="38">
        <f>'M7-10'!AG$17</f>
        <v>61.84</v>
      </c>
      <c r="AJ36" s="38">
        <f>'M7-10'!AH$17</f>
        <v>130.77000000000001</v>
      </c>
      <c r="AK36" s="48">
        <f>'M7-10'!AI$17</f>
        <v>1.7</v>
      </c>
      <c r="AL36" s="38">
        <f>'M7-10'!AF$18</f>
        <v>25</v>
      </c>
      <c r="AM36" s="38">
        <f>'M7-10'!AG$18</f>
        <v>61.32</v>
      </c>
      <c r="AN36" s="38">
        <f>'M7-10'!AH$18</f>
        <v>135.6</v>
      </c>
      <c r="AO36" s="47">
        <f>'M7-10'!AI$18</f>
        <v>3.39</v>
      </c>
      <c r="AP36" s="42">
        <f>'M7-10'!AJ$11</f>
        <v>7</v>
      </c>
      <c r="AQ36" s="41">
        <f>'M7-10'!AK$11</f>
        <v>25.23</v>
      </c>
      <c r="AR36" s="41">
        <f>'M7-10'!AL$11</f>
        <v>30</v>
      </c>
      <c r="AS36" s="45">
        <f>'M7-10'!AM$11</f>
        <v>0.21</v>
      </c>
      <c r="AT36" s="43">
        <f>'M7-10'!AJ$10</f>
        <v>13</v>
      </c>
      <c r="AU36" s="41">
        <f>'M7-10'!AK$10</f>
        <v>54.85</v>
      </c>
      <c r="AV36" s="41">
        <f>'M7-10'!AL$10</f>
        <v>122.31</v>
      </c>
      <c r="AW36" s="45">
        <f>'M7-10'!AM$10</f>
        <v>1.59</v>
      </c>
      <c r="AX36" s="43">
        <f>'M7-10'!AJ$17</f>
        <v>9</v>
      </c>
      <c r="AY36" s="41">
        <f>'M7-10'!AK$17</f>
        <v>76.67</v>
      </c>
      <c r="AZ36" s="41">
        <f>'M7-10'!AL$17</f>
        <v>192.2</v>
      </c>
      <c r="BA36" s="45">
        <f>'M7-10'!AM$17</f>
        <v>1.73</v>
      </c>
      <c r="BB36" s="43">
        <f>'M7-10'!AJ$16</f>
        <v>11</v>
      </c>
      <c r="BC36" s="41">
        <f>'M7-10'!AK$16</f>
        <v>95.36</v>
      </c>
      <c r="BD36" s="41">
        <f>'M7-10'!AL$16</f>
        <v>230.9</v>
      </c>
      <c r="BE36" s="45">
        <f>'M7-10'!AM$16</f>
        <v>2.54</v>
      </c>
      <c r="BF36" s="43">
        <f>'M7-10'!AJ$15</f>
        <v>19</v>
      </c>
      <c r="BG36" s="41">
        <f>'M7-10'!AK$15</f>
        <v>81.319999999999993</v>
      </c>
      <c r="BH36" s="41">
        <f>'M7-10'!AL$15</f>
        <v>160</v>
      </c>
      <c r="BI36" s="44">
        <f>'M7-10'!AM$15</f>
        <v>3.04</v>
      </c>
    </row>
    <row r="37" spans="1:61">
      <c r="A37" s="53" t="s">
        <v>55</v>
      </c>
      <c r="B37" s="35">
        <f>'T9-12'!V$4</f>
        <v>9</v>
      </c>
      <c r="C37" s="36">
        <f>'T9-12'!W$4</f>
        <v>263.8</v>
      </c>
      <c r="D37" s="36">
        <f>'T9-12'!X$4</f>
        <v>735.55499999999995</v>
      </c>
      <c r="E37" s="51">
        <f>'T9-12'!Y$4</f>
        <v>6.62</v>
      </c>
      <c r="F37" s="37">
        <f>'T9-12'!V$5</f>
        <v>20</v>
      </c>
      <c r="G37" s="36">
        <f>'T9-12'!W$5</f>
        <v>218</v>
      </c>
      <c r="H37" s="36">
        <f>'T9-12'!X$5</f>
        <v>414</v>
      </c>
      <c r="I37" s="51">
        <f>'T9-12'!Y$5</f>
        <v>8.2799999999999994</v>
      </c>
      <c r="J37" s="37">
        <f>'T9-12'!V$10</f>
        <v>9</v>
      </c>
      <c r="K37" s="36">
        <f>'T9-12'!W$10</f>
        <v>232.6</v>
      </c>
      <c r="L37" s="36">
        <f>'T9-12'!X$10</f>
        <v>488.9</v>
      </c>
      <c r="M37" s="51">
        <f>'T9-12'!Y$10</f>
        <v>4.4000000000000004</v>
      </c>
      <c r="N37" s="37">
        <f>'T9-12'!V$11</f>
        <v>20</v>
      </c>
      <c r="O37" s="36">
        <f>'T9-12'!W$11</f>
        <v>247</v>
      </c>
      <c r="P37" s="36">
        <f>'T9-12'!X$11</f>
        <v>457</v>
      </c>
      <c r="Q37" s="51">
        <f>'T9-12'!Y$11</f>
        <v>9.14</v>
      </c>
      <c r="R37" s="36">
        <f>'T9-12'!V$12</f>
        <v>28</v>
      </c>
      <c r="S37" s="36">
        <f>'T9-12'!W$12</f>
        <v>216.7</v>
      </c>
      <c r="T37" s="36">
        <f>'T9-12'!X$12</f>
        <v>358.2</v>
      </c>
      <c r="U37" s="50">
        <f>'T9-12'!Y$12</f>
        <v>10.029999999999999</v>
      </c>
      <c r="V37" s="39">
        <f>'T9-12'!Z$5</f>
        <v>7</v>
      </c>
      <c r="W37" s="38">
        <f>'T9-12'!AA$5</f>
        <v>40.9</v>
      </c>
      <c r="X37" s="38">
        <f>'T9-12'!AB$5</f>
        <v>71.400000000000006</v>
      </c>
      <c r="Y37" s="48">
        <f>'T9-12'!AC$5</f>
        <v>0.5</v>
      </c>
      <c r="Z37" s="40">
        <f>'T9-12'!Z$4</f>
        <v>14</v>
      </c>
      <c r="AA37" s="38">
        <f>'T9-12'!AA$4</f>
        <v>46.6</v>
      </c>
      <c r="AB37" s="38">
        <f>'T9-12'!AB$4</f>
        <v>101.4</v>
      </c>
      <c r="AC37" s="48">
        <f>'T9-12'!AC$4</f>
        <v>1.42</v>
      </c>
      <c r="AD37" s="40">
        <f>'T9-12'!V$16</f>
        <v>7</v>
      </c>
      <c r="AE37" s="38">
        <f>'T9-12'!W$16</f>
        <v>48.4</v>
      </c>
      <c r="AF37" s="38">
        <f>'T9-12'!X$16</f>
        <v>72.900000000000006</v>
      </c>
      <c r="AG37" s="48">
        <f>'T9-12'!Y$16</f>
        <v>0.51</v>
      </c>
      <c r="AH37" s="40">
        <f>'T9-12'!V$17</f>
        <v>17</v>
      </c>
      <c r="AI37" s="38">
        <f>'T9-12'!W$17</f>
        <v>61.7</v>
      </c>
      <c r="AJ37" s="38">
        <f>'T9-12'!X$17</f>
        <v>81.180000000000007</v>
      </c>
      <c r="AK37" s="48">
        <f>'T9-12'!Y$17</f>
        <v>1.4</v>
      </c>
      <c r="AL37" s="38">
        <f>'T9-12'!V$18</f>
        <v>21</v>
      </c>
      <c r="AM37" s="38">
        <f>'T9-12'!W$18</f>
        <v>56.7</v>
      </c>
      <c r="AN37" s="38">
        <f>'T9-12'!X$18</f>
        <v>102.9</v>
      </c>
      <c r="AO37" s="47">
        <f>'T9-12'!Y$18</f>
        <v>2.16</v>
      </c>
      <c r="AP37" s="42">
        <f>'T9-12'!Z$11</f>
        <v>10</v>
      </c>
      <c r="AQ37" s="41">
        <f>'T9-12'!AA$11</f>
        <v>69.2</v>
      </c>
      <c r="AR37" s="108">
        <f>'T9-12'!AB$11</f>
        <v>205</v>
      </c>
      <c r="AS37" s="109">
        <f>'T9-12'!AC$11</f>
        <v>2.0499999999999998</v>
      </c>
      <c r="AT37" s="43">
        <f>'T9-12'!Z$10</f>
        <v>9</v>
      </c>
      <c r="AU37" s="41">
        <f>'T9-12'!AA$10</f>
        <v>78.400000000000006</v>
      </c>
      <c r="AV37" s="41">
        <f>'T9-12'!AB$10</f>
        <v>216.7</v>
      </c>
      <c r="AW37" s="45">
        <f>'T9-12'!AC$10</f>
        <v>1.95</v>
      </c>
      <c r="AX37" s="43">
        <f>'T9-12'!Z$17</f>
        <v>9</v>
      </c>
      <c r="AY37" s="41">
        <f>'T9-12'!AA$17</f>
        <v>65.400000000000006</v>
      </c>
      <c r="AZ37" s="41">
        <f>'T9-12'!AB$17</f>
        <v>148.9</v>
      </c>
      <c r="BA37" s="45">
        <f>'T9-12'!AC$17</f>
        <v>1.34</v>
      </c>
      <c r="BB37" s="43">
        <f>'T9-12'!Z$16</f>
        <v>18</v>
      </c>
      <c r="BC37" s="41">
        <f>'T9-12'!AA$16</f>
        <v>61.6</v>
      </c>
      <c r="BD37" s="41">
        <f>'T9-12'!AB$16</f>
        <v>172.8</v>
      </c>
      <c r="BE37" s="45">
        <f>'T9-12'!AC$16</f>
        <v>3.1</v>
      </c>
      <c r="BF37" s="43">
        <f>'T9-12'!Z$15</f>
        <v>19</v>
      </c>
      <c r="BG37" s="41">
        <f>'T9-12'!AA$15</f>
        <v>50.95</v>
      </c>
      <c r="BH37" s="41">
        <f>'T9-12'!AB$15</f>
        <v>127.9</v>
      </c>
      <c r="BI37" s="44">
        <f>'T9-12'!AC$15</f>
        <v>2.4</v>
      </c>
    </row>
    <row r="38" spans="1:61">
      <c r="A38" s="53" t="s">
        <v>56</v>
      </c>
      <c r="B38" s="35">
        <f>'T9-12'!AF$4</f>
        <v>10</v>
      </c>
      <c r="C38" s="36">
        <f>'T9-12'!AG$4</f>
        <v>235.5</v>
      </c>
      <c r="D38" s="36">
        <f>'T9-12'!AH$4</f>
        <v>480</v>
      </c>
      <c r="E38" s="51">
        <f>'T9-12'!AI$4</f>
        <v>4.8</v>
      </c>
      <c r="F38" s="37">
        <f>'T9-12'!AF$5</f>
        <v>20</v>
      </c>
      <c r="G38" s="36">
        <f>'T9-12'!AG$5</f>
        <v>244.5</v>
      </c>
      <c r="H38" s="36">
        <f>'T9-12'!AH$5</f>
        <v>439.5</v>
      </c>
      <c r="I38" s="51">
        <f>'T9-12'!AI$5</f>
        <v>8.7899999999999991</v>
      </c>
      <c r="J38" s="37">
        <f>'T9-12'!AF$10</f>
        <v>10</v>
      </c>
      <c r="K38" s="36">
        <f>'T9-12'!AG$10</f>
        <v>214.2</v>
      </c>
      <c r="L38" s="36">
        <f>'T9-12'!AH$10</f>
        <v>410</v>
      </c>
      <c r="M38" s="51">
        <f>'T9-12'!AI$10</f>
        <v>4.0999999999999996</v>
      </c>
      <c r="N38" s="37">
        <f>'T9-12'!AF$11</f>
        <v>19</v>
      </c>
      <c r="O38" s="36">
        <f>'T9-12'!AG$11</f>
        <v>210.82</v>
      </c>
      <c r="P38" s="36">
        <f>'T9-12'!AH$11</f>
        <v>341.053</v>
      </c>
      <c r="Q38" s="51">
        <f>'T9-12'!AI$11</f>
        <v>6.48</v>
      </c>
      <c r="R38" s="36">
        <f>'T9-12'!AF$12</f>
        <v>30</v>
      </c>
      <c r="S38" s="36">
        <f>'T9-12'!AG$12</f>
        <v>239.33</v>
      </c>
      <c r="T38" s="36">
        <f>'T9-12'!AH$12</f>
        <v>412.33</v>
      </c>
      <c r="U38" s="50">
        <f>'T9-12'!AI$12</f>
        <v>12.37</v>
      </c>
      <c r="V38" s="39">
        <f>'T9-12'!AJ$5</f>
        <v>7</v>
      </c>
      <c r="W38" s="38">
        <f>'T9-12'!AK$5</f>
        <v>38.700000000000003</v>
      </c>
      <c r="X38" s="38">
        <f>'T9-12'!AL$5</f>
        <v>57.1</v>
      </c>
      <c r="Y38" s="48">
        <f>'T9-12'!AM$5</f>
        <v>0.4</v>
      </c>
      <c r="Z38" s="40">
        <f>'T9-12'!AJ$4</f>
        <v>11</v>
      </c>
      <c r="AA38" s="38">
        <f>'T9-12'!AK$4</f>
        <v>44.27</v>
      </c>
      <c r="AB38" s="38">
        <f>'T9-12'!AL$4</f>
        <v>57.27</v>
      </c>
      <c r="AC38" s="48">
        <f>'T9-12'!AM$4</f>
        <v>0.63</v>
      </c>
      <c r="AD38" s="40">
        <f>'T9-12'!AF$16</f>
        <v>6</v>
      </c>
      <c r="AE38" s="38">
        <f>'T9-12'!AG$16</f>
        <v>49</v>
      </c>
      <c r="AF38" s="38">
        <f>'T9-12'!AH$16</f>
        <v>138.30000000000001</v>
      </c>
      <c r="AG38" s="48">
        <f>'T9-12'!AI$16</f>
        <v>0.83</v>
      </c>
      <c r="AH38" s="40">
        <f>'T9-12'!AF$17</f>
        <v>14</v>
      </c>
      <c r="AI38" s="38">
        <f>'T9-12'!AG$17</f>
        <v>47.8</v>
      </c>
      <c r="AJ38" s="38">
        <f>'T9-12'!AH$17</f>
        <v>79.3</v>
      </c>
      <c r="AK38" s="48">
        <f>'T9-12'!AI$17</f>
        <v>1.1100000000000001</v>
      </c>
      <c r="AL38" s="38">
        <f>'T9-12'!AF$18</f>
        <v>26</v>
      </c>
      <c r="AM38" s="38">
        <f>'T9-12'!AG$18</f>
        <v>63.73</v>
      </c>
      <c r="AN38" s="38">
        <f>'T9-12'!AH$18</f>
        <v>118.08</v>
      </c>
      <c r="AO38" s="47">
        <f>'T9-12'!AI$18</f>
        <v>3.07</v>
      </c>
      <c r="AP38" s="42">
        <f>'T9-12'!AJ$11</f>
        <v>9</v>
      </c>
      <c r="AQ38" s="41">
        <f>'T9-12'!AK$11</f>
        <v>79.02</v>
      </c>
      <c r="AR38" s="41">
        <f>'T9-12'!AL$11</f>
        <v>165.56</v>
      </c>
      <c r="AS38" s="45">
        <f>'T9-12'!AM$11</f>
        <v>1.49</v>
      </c>
      <c r="AT38" s="43">
        <f>'T9-12'!AJ$10</f>
        <v>16</v>
      </c>
      <c r="AU38" s="41">
        <f>'T9-12'!AK$10</f>
        <v>68.12</v>
      </c>
      <c r="AV38" s="41">
        <f>'T9-12'!AL$10</f>
        <v>171.25</v>
      </c>
      <c r="AW38" s="45">
        <f>'T9-12'!AM$10</f>
        <v>2.74</v>
      </c>
      <c r="AX38" s="43">
        <f>'T9-12'!AJ$17</f>
        <v>5</v>
      </c>
      <c r="AY38" s="41">
        <f>'T9-12'!AK$17</f>
        <v>92.2</v>
      </c>
      <c r="AZ38" s="41">
        <f>'T9-12'!AL$17</f>
        <v>212</v>
      </c>
      <c r="BA38" s="45">
        <f>'T9-12'!AM$17</f>
        <v>1.06</v>
      </c>
      <c r="BB38" s="43">
        <f>'T9-12'!AJ$16</f>
        <v>14</v>
      </c>
      <c r="BC38" s="41">
        <f>'T9-12'!AK$16</f>
        <v>96.5</v>
      </c>
      <c r="BD38" s="41">
        <f>'T9-12'!AL$16</f>
        <v>212.9</v>
      </c>
      <c r="BE38" s="45">
        <f>'T9-12'!AM$16</f>
        <v>2.98</v>
      </c>
      <c r="BF38" s="43">
        <f>'T9-12'!AJ$15</f>
        <v>18</v>
      </c>
      <c r="BG38" s="41">
        <f>'T9-12'!AK$15</f>
        <v>66.8</v>
      </c>
      <c r="BH38" s="41">
        <f>'T9-12'!AL$15</f>
        <v>117.78</v>
      </c>
      <c r="BI38" s="44">
        <f>'T9-12'!AM$15</f>
        <v>2.12</v>
      </c>
    </row>
    <row r="39" spans="1:61">
      <c r="A39" s="53" t="s">
        <v>59</v>
      </c>
      <c r="B39" s="35">
        <f>'T2-5'!V$4</f>
        <v>9</v>
      </c>
      <c r="C39" s="36">
        <f>'T2-5'!W$4</f>
        <v>262.39999999999998</v>
      </c>
      <c r="D39" s="36">
        <f>'T2-5'!X$4</f>
        <v>489</v>
      </c>
      <c r="E39" s="51">
        <f>'T2-5'!Y$4</f>
        <v>4.4000000000000004</v>
      </c>
      <c r="F39" s="37">
        <f>'T2-5'!V$5</f>
        <v>20</v>
      </c>
      <c r="G39" s="36">
        <f>'T2-5'!W$5</f>
        <v>255.5</v>
      </c>
      <c r="H39" s="36">
        <f>'T2-5'!X$5</f>
        <v>451.5</v>
      </c>
      <c r="I39" s="51">
        <f>'T2-5'!Y$5</f>
        <v>9.0299999999999994</v>
      </c>
      <c r="J39" s="37">
        <f>'T2-5'!V$10</f>
        <v>10</v>
      </c>
      <c r="K39" s="36">
        <f>'T2-5'!W$10</f>
        <v>252.9</v>
      </c>
      <c r="L39" s="36">
        <f>'T2-5'!X$10</f>
        <v>486.25</v>
      </c>
      <c r="M39" s="51">
        <f>'T2-5'!Y$10</f>
        <v>4.8600000000000003</v>
      </c>
      <c r="N39" s="37">
        <f>'T2-5'!V$11</f>
        <v>20</v>
      </c>
      <c r="O39" s="36">
        <f>'T2-5'!W$11</f>
        <v>230.75</v>
      </c>
      <c r="P39" s="36">
        <f>'T2-5'!X$11</f>
        <v>429</v>
      </c>
      <c r="Q39" s="51">
        <f>'T2-5'!Y$11</f>
        <v>8.58</v>
      </c>
      <c r="R39" s="36">
        <f>'T2-5'!V$12</f>
        <v>28</v>
      </c>
      <c r="S39" s="36">
        <f>'T2-5'!W$12</f>
        <v>243.36</v>
      </c>
      <c r="T39" s="36">
        <f>'T2-5'!X$12</f>
        <v>392.14</v>
      </c>
      <c r="U39" s="50">
        <f>'T2-5'!Y$12</f>
        <v>10.98</v>
      </c>
      <c r="V39" s="39">
        <f>'T2-5'!Z$5</f>
        <v>5</v>
      </c>
      <c r="W39" s="38">
        <f>'T2-5'!AA$5</f>
        <v>49.2</v>
      </c>
      <c r="X39" s="38">
        <f>'T2-5'!AB$5</f>
        <v>68</v>
      </c>
      <c r="Y39" s="48">
        <f>'T2-5'!AC$5</f>
        <v>0.34</v>
      </c>
      <c r="Z39" s="40">
        <f>'T2-5'!Z$4</f>
        <v>16</v>
      </c>
      <c r="AA39" s="38">
        <f>'T2-5'!AA$4</f>
        <v>48.6</v>
      </c>
      <c r="AB39" s="38">
        <f>'T2-5'!AB$4</f>
        <v>76.3</v>
      </c>
      <c r="AC39" s="48">
        <f>'T2-5'!AC$4</f>
        <v>1.22</v>
      </c>
      <c r="AD39" s="40">
        <f>'T2-5'!V$16</f>
        <v>7</v>
      </c>
      <c r="AE39" s="38">
        <f>'T2-5'!W$16</f>
        <v>60</v>
      </c>
      <c r="AF39" s="38">
        <f>'T2-5'!X$16</f>
        <v>158.57</v>
      </c>
      <c r="AG39" s="48">
        <f>'T2-5'!Y$16</f>
        <v>1.1100000000000001</v>
      </c>
      <c r="AH39" s="40">
        <f>'T2-5'!V$17</f>
        <v>14</v>
      </c>
      <c r="AI39" s="38">
        <f>'T2-5'!W$17</f>
        <v>54</v>
      </c>
      <c r="AJ39" s="38">
        <f>'T2-5'!X$17</f>
        <v>66.430000000000007</v>
      </c>
      <c r="AK39" s="48">
        <f>'T2-5'!Y$17</f>
        <v>0.93</v>
      </c>
      <c r="AL39" s="38">
        <f>'T2-5'!V$18</f>
        <v>25</v>
      </c>
      <c r="AM39" s="38">
        <f>'T2-5'!W$18</f>
        <v>51.72</v>
      </c>
      <c r="AN39" s="38">
        <f>'T2-5'!X$18</f>
        <v>105.2</v>
      </c>
      <c r="AO39" s="47">
        <f>'T2-5'!Y$18</f>
        <v>2.63</v>
      </c>
      <c r="AP39" s="42">
        <f>'T2-5'!Z$11</f>
        <v>6</v>
      </c>
      <c r="AQ39" s="41">
        <f>'T2-5'!AA$11</f>
        <v>51.5</v>
      </c>
      <c r="AR39" s="41">
        <f>'T2-5'!AB$11</f>
        <v>91.67</v>
      </c>
      <c r="AS39" s="45">
        <f>'T2-5'!AC$11</f>
        <v>0.55000000000000004</v>
      </c>
      <c r="AT39" s="43">
        <f>'T2-5'!Z$10</f>
        <v>11</v>
      </c>
      <c r="AU39" s="41">
        <f>'T2-5'!AA$10</f>
        <v>59.27</v>
      </c>
      <c r="AV39" s="41">
        <f>'T2-5'!AB$10</f>
        <v>110.2</v>
      </c>
      <c r="AW39" s="45">
        <f>'T2-5'!AC$10</f>
        <v>1.21</v>
      </c>
      <c r="AX39" s="43">
        <f>'T2-5'!Z$17</f>
        <v>10</v>
      </c>
      <c r="AY39" s="41">
        <f>'T2-5'!AA$17</f>
        <v>88.3</v>
      </c>
      <c r="AZ39" s="41">
        <f>'T2-5'!AB$17</f>
        <v>211</v>
      </c>
      <c r="BA39" s="45">
        <f>'T2-5'!AC$17</f>
        <v>2.11</v>
      </c>
      <c r="BB39" s="43">
        <f>'T2-5'!Z$16</f>
        <v>12</v>
      </c>
      <c r="BC39" s="41">
        <f>'T2-5'!AA$16</f>
        <v>79.92</v>
      </c>
      <c r="BD39" s="41">
        <f>'T2-5'!AB$16</f>
        <v>196.67</v>
      </c>
      <c r="BE39" s="45">
        <f>'T2-5'!AC$16</f>
        <v>2.36</v>
      </c>
      <c r="BF39" s="43">
        <f>'T2-5'!Z$15</f>
        <v>20</v>
      </c>
      <c r="BG39" s="41">
        <f>'T2-5'!AA$15</f>
        <v>69.650000000000006</v>
      </c>
      <c r="BH39" s="41">
        <f>'T2-5'!AB$15</f>
        <v>113.5</v>
      </c>
      <c r="BI39" s="44">
        <f>'T2-5'!AC$15</f>
        <v>2.27</v>
      </c>
    </row>
    <row r="40" spans="1:61">
      <c r="A40" s="53" t="s">
        <v>60</v>
      </c>
      <c r="B40" s="35">
        <f>'T2-5'!AF$4</f>
        <v>9</v>
      </c>
      <c r="C40" s="36">
        <f>'T2-5'!AG$4</f>
        <v>229.33</v>
      </c>
      <c r="D40" s="36">
        <f>'T2-5'!AH$4</f>
        <v>386.6</v>
      </c>
      <c r="E40" s="51">
        <f>'T2-5'!AI$4</f>
        <v>3.48</v>
      </c>
      <c r="F40" s="37">
        <f>'T2-5'!AF$5</f>
        <v>19</v>
      </c>
      <c r="G40" s="36">
        <f>'T2-5'!AG$5</f>
        <v>229.59</v>
      </c>
      <c r="H40" s="36">
        <f>'T2-5'!AH$5</f>
        <v>375.26</v>
      </c>
      <c r="I40" s="51">
        <f>'T2-5'!AI$5</f>
        <v>7.13</v>
      </c>
      <c r="J40" s="37">
        <f>'T2-5'!AF$10</f>
        <v>10</v>
      </c>
      <c r="K40" s="36">
        <f>'T2-5'!AG$10</f>
        <v>214.1</v>
      </c>
      <c r="L40" s="36">
        <f>'T2-5'!AH$10</f>
        <v>449</v>
      </c>
      <c r="M40" s="51">
        <f>'T2-5'!AI$10</f>
        <v>4.49</v>
      </c>
      <c r="N40" s="37">
        <f>'T2-5'!AF$11</f>
        <v>20</v>
      </c>
      <c r="O40" s="36">
        <f>'T2-5'!AG$11</f>
        <v>239.1</v>
      </c>
      <c r="P40" s="36">
        <f>'T2-5'!AH$11</f>
        <v>355.5</v>
      </c>
      <c r="Q40" s="51">
        <f>'T2-5'!AI$11</f>
        <v>7.11</v>
      </c>
      <c r="R40" s="36">
        <f>'T2-5'!AF$12</f>
        <v>29</v>
      </c>
      <c r="S40" s="36">
        <f>'T2-5'!AG$12</f>
        <v>253.24</v>
      </c>
      <c r="T40" s="36">
        <f>'T2-5'!AH$12</f>
        <v>412</v>
      </c>
      <c r="U40" s="50">
        <f>'T2-5'!AI$12</f>
        <v>11.95</v>
      </c>
      <c r="V40" s="93">
        <f>'T2-5'!AJ$5</f>
        <v>2</v>
      </c>
      <c r="W40" s="38">
        <f>'T2-5'!AK$5</f>
        <v>37</v>
      </c>
      <c r="X40" s="38">
        <f>'T2-5'!AL$5</f>
        <v>40</v>
      </c>
      <c r="Y40" s="48">
        <f>'T2-5'!AM$5</f>
        <v>0.08</v>
      </c>
      <c r="Z40" s="40">
        <f>'T2-5'!AJ$4</f>
        <v>14</v>
      </c>
      <c r="AA40" s="38">
        <f>'T2-5'!AK$4</f>
        <v>38.85</v>
      </c>
      <c r="AB40" s="38">
        <f>'T2-5'!AL$4</f>
        <v>50</v>
      </c>
      <c r="AC40" s="48">
        <f>'T2-5'!AM$4</f>
        <v>0.7</v>
      </c>
      <c r="AD40" s="40">
        <f>'T2-5'!AF$16</f>
        <v>9</v>
      </c>
      <c r="AE40" s="38">
        <f>'T2-5'!AG$16</f>
        <v>44.277000000000001</v>
      </c>
      <c r="AF40" s="38">
        <f>'T2-5'!AH$16</f>
        <v>43.33</v>
      </c>
      <c r="AG40" s="48">
        <f>'T2-5'!AI$16</f>
        <v>0.39</v>
      </c>
      <c r="AH40" s="40">
        <f>'T2-5'!AF$17</f>
        <v>13</v>
      </c>
      <c r="AI40" s="38">
        <f>'T2-5'!AG$17</f>
        <v>35.42</v>
      </c>
      <c r="AJ40" s="38">
        <f>'T2-5'!AH$17</f>
        <v>50.77</v>
      </c>
      <c r="AK40" s="48">
        <f>'T2-5'!AI$17</f>
        <v>0.66</v>
      </c>
      <c r="AL40" s="91">
        <f>'T2-5'!AF$18</f>
        <v>12</v>
      </c>
      <c r="AM40" s="38">
        <f>'T2-5'!AG$18</f>
        <v>43.96</v>
      </c>
      <c r="AN40" s="38">
        <f>'T2-5'!AH$18</f>
        <v>56.67</v>
      </c>
      <c r="AO40" s="47">
        <f>'T2-5'!AI$18</f>
        <v>0.68</v>
      </c>
      <c r="AP40" s="42">
        <f>'T2-5'!AJ$11</f>
        <v>3</v>
      </c>
      <c r="AQ40" s="41">
        <f>'T2-5'!AK$11</f>
        <v>50.34</v>
      </c>
      <c r="AR40" s="41">
        <f>'T2-5'!AL$11</f>
        <v>123.34</v>
      </c>
      <c r="AS40" s="45">
        <f>'T2-5'!AM$11</f>
        <v>0.37</v>
      </c>
      <c r="AT40" s="43">
        <f>'T2-5'!AJ$10</f>
        <v>8</v>
      </c>
      <c r="AU40" s="41">
        <f>'T2-5'!AK$10</f>
        <v>54.875</v>
      </c>
      <c r="AV40" s="41">
        <f>'T2-5'!AL$10</f>
        <v>115</v>
      </c>
      <c r="AW40" s="45">
        <f>'T2-5'!AM$10</f>
        <v>0.92</v>
      </c>
      <c r="AX40" s="43">
        <f>'T2-5'!AJ$17</f>
        <v>8</v>
      </c>
      <c r="AY40" s="41">
        <f>'T2-5'!AK$17</f>
        <v>72.75</v>
      </c>
      <c r="AZ40" s="41">
        <f>'T2-5'!AL$17</f>
        <v>206.25</v>
      </c>
      <c r="BA40" s="45">
        <f>'T2-5'!AM$17</f>
        <v>1.65</v>
      </c>
      <c r="BB40" s="43">
        <f>'T2-5'!AJ$16</f>
        <v>11</v>
      </c>
      <c r="BC40" s="41">
        <f>'T2-5'!AK$16</f>
        <v>68</v>
      </c>
      <c r="BD40" s="41">
        <f>'T2-5'!AL$16</f>
        <v>176.36</v>
      </c>
      <c r="BE40" s="45">
        <f>'T2-5'!AM$16</f>
        <v>1.94</v>
      </c>
      <c r="BF40" s="43">
        <f>'T2-5'!AJ$15</f>
        <v>19</v>
      </c>
      <c r="BG40" s="41">
        <f>'T2-5'!AK$15</f>
        <v>58.68</v>
      </c>
      <c r="BH40" s="41">
        <f>'T2-5'!AL$15</f>
        <v>516.84</v>
      </c>
      <c r="BI40" s="44">
        <f>'T2-5'!AM$15</f>
        <v>9.82</v>
      </c>
    </row>
    <row r="41" spans="1:61">
      <c r="A41" s="53" t="s">
        <v>63</v>
      </c>
      <c r="B41" s="93">
        <f>'T7-10'!V$4</f>
        <v>18</v>
      </c>
      <c r="C41" s="36">
        <f>'T7-10'!W$4</f>
        <v>201.67</v>
      </c>
      <c r="D41" s="36">
        <f>'T7-10'!X$4</f>
        <v>354.44400000000002</v>
      </c>
      <c r="E41" s="51">
        <f>'T7-10'!Y$4</f>
        <v>6.38</v>
      </c>
      <c r="F41" s="37">
        <f>'T7-10'!V$5</f>
        <v>20</v>
      </c>
      <c r="G41" s="36">
        <f>'T7-10'!W$5</f>
        <v>227.25</v>
      </c>
      <c r="H41" s="36">
        <f>'T7-10'!X$5</f>
        <v>481</v>
      </c>
      <c r="I41" s="51">
        <f>'T7-10'!Y$5</f>
        <v>9.6199999999999992</v>
      </c>
      <c r="J41" s="37">
        <f>'T7-10'!V$10</f>
        <v>10</v>
      </c>
      <c r="K41" s="36">
        <f>'T7-10'!W$10</f>
        <v>233.2</v>
      </c>
      <c r="L41" s="36">
        <f>'T7-10'!X$10</f>
        <v>502</v>
      </c>
      <c r="M41" s="51">
        <f>'T7-10'!Y$10</f>
        <v>5.0199999999999996</v>
      </c>
      <c r="N41" s="37">
        <f>'T7-10'!V$11</f>
        <v>20</v>
      </c>
      <c r="O41" s="36">
        <f>'T7-10'!W$11</f>
        <v>227.05</v>
      </c>
      <c r="P41" s="36">
        <f>'T7-10'!X$11</f>
        <v>345.5</v>
      </c>
      <c r="Q41" s="51">
        <f>'T7-10'!Y$11</f>
        <v>6.91</v>
      </c>
      <c r="R41" s="36">
        <f>'T7-10'!V$12</f>
        <v>30</v>
      </c>
      <c r="S41" s="36">
        <f>'T7-10'!W$12</f>
        <v>223.2</v>
      </c>
      <c r="T41" s="36">
        <f>'T7-10'!X$12</f>
        <v>425.33</v>
      </c>
      <c r="U41" s="50">
        <f>'T7-10'!Y$12</f>
        <v>12.76</v>
      </c>
      <c r="V41" s="39">
        <f>'T7-10'!Z$5</f>
        <v>8</v>
      </c>
      <c r="W41" s="38">
        <f>'T7-10'!AA$5</f>
        <v>49.125</v>
      </c>
      <c r="X41" s="38">
        <f>'T7-10'!AB$5</f>
        <v>66.25</v>
      </c>
      <c r="Y41" s="48">
        <f>'T7-10'!AC$5</f>
        <v>0.53</v>
      </c>
      <c r="Z41" s="40">
        <f>'T7-10'!Z$4</f>
        <v>14</v>
      </c>
      <c r="AA41" s="38">
        <f>'T7-10'!AA$4</f>
        <v>41.79</v>
      </c>
      <c r="AB41" s="38">
        <f>'T7-10'!AB$4</f>
        <v>47.86</v>
      </c>
      <c r="AC41" s="48">
        <f>'T7-10'!AC$4</f>
        <v>0.67</v>
      </c>
      <c r="AD41" s="40">
        <f>'T7-10'!V$16</f>
        <v>4</v>
      </c>
      <c r="AE41" s="38">
        <f>'T7-10'!W$16</f>
        <v>45</v>
      </c>
      <c r="AF41" s="38">
        <f>'T7-10'!X$16</f>
        <v>82.5</v>
      </c>
      <c r="AG41" s="48">
        <f>'T7-10'!Y$16</f>
        <v>0.33</v>
      </c>
      <c r="AH41" s="40">
        <f>'T7-10'!V$17</f>
        <v>14</v>
      </c>
      <c r="AI41" s="38">
        <f>'T7-10'!W$17</f>
        <v>37.1</v>
      </c>
      <c r="AJ41" s="38">
        <f>'T7-10'!X$17</f>
        <v>53.6</v>
      </c>
      <c r="AK41" s="48">
        <f>'T7-10'!Y$17</f>
        <v>0.75</v>
      </c>
      <c r="AL41" s="38">
        <f>'T7-10'!V$18</f>
        <v>19</v>
      </c>
      <c r="AM41" s="38">
        <f>'T7-10'!W$18</f>
        <v>51.631999999999998</v>
      </c>
      <c r="AN41" s="38">
        <f>'T7-10'!X$18</f>
        <v>91.578999999999994</v>
      </c>
      <c r="AO41" s="47">
        <f>'T7-10'!Y$18</f>
        <v>1.74</v>
      </c>
      <c r="AP41" s="42">
        <f>'T7-10'!Z$11</f>
        <v>8</v>
      </c>
      <c r="AQ41" s="41">
        <f>'T7-10'!AA$11</f>
        <v>38</v>
      </c>
      <c r="AR41" s="41">
        <f>'T7-10'!AB$11</f>
        <v>60.26</v>
      </c>
      <c r="AS41" s="45">
        <f>'T7-10'!AC$11</f>
        <v>0.48199999999999998</v>
      </c>
      <c r="AT41" s="90">
        <f>'T7-10'!Z$10</f>
        <v>5</v>
      </c>
      <c r="AU41" s="41">
        <f>'T7-10'!AA$10</f>
        <v>44.4</v>
      </c>
      <c r="AV41" s="41">
        <f>'T7-10'!AB$10</f>
        <v>74.2</v>
      </c>
      <c r="AW41" s="45">
        <f>'T7-10'!AC$10</f>
        <v>0.371</v>
      </c>
      <c r="AX41" s="43">
        <f>'T7-10'!Z$17</f>
        <v>6</v>
      </c>
      <c r="AY41" s="41">
        <f>'T7-10'!AA$17</f>
        <v>66.8</v>
      </c>
      <c r="AZ41" s="41">
        <f>'T7-10'!AB$17</f>
        <v>218.6</v>
      </c>
      <c r="BA41" s="45">
        <f>'T7-10'!AC$17</f>
        <v>1.3</v>
      </c>
      <c r="BB41" s="43">
        <f>'T7-10'!Z$16</f>
        <v>9</v>
      </c>
      <c r="BC41" s="41">
        <f>'T7-10'!AA$16</f>
        <v>71.44</v>
      </c>
      <c r="BD41" s="41">
        <f>'T7-10'!AB$16</f>
        <v>195.22</v>
      </c>
      <c r="BE41" s="45">
        <f>'T7-10'!AC$16</f>
        <v>1.7569999999999999</v>
      </c>
      <c r="BF41" s="43">
        <f>'T7-10'!Z$15</f>
        <v>14</v>
      </c>
      <c r="BG41" s="41">
        <f>'T7-10'!AA$15</f>
        <v>74.75</v>
      </c>
      <c r="BH41" s="41">
        <f>'T7-10'!AB$15</f>
        <v>149.72</v>
      </c>
      <c r="BI41" s="44">
        <f>'T7-10'!AC$15</f>
        <v>2.0960999999999999</v>
      </c>
    </row>
    <row r="42" spans="1:61">
      <c r="A42" s="53" t="s">
        <v>64</v>
      </c>
      <c r="B42" s="35">
        <f>'T7-10'!AF$4</f>
        <v>10</v>
      </c>
      <c r="C42" s="36">
        <f>'T7-10'!AG$4</f>
        <v>230.5</v>
      </c>
      <c r="D42" s="36">
        <f>'T7-10'!AH$4</f>
        <v>492</v>
      </c>
      <c r="E42" s="51">
        <f>'T7-10'!AI$4</f>
        <v>4.92</v>
      </c>
      <c r="F42" s="37">
        <f>'T7-10'!AF$5</f>
        <v>19</v>
      </c>
      <c r="G42" s="36">
        <f>'T7-10'!AG$5</f>
        <v>224.5</v>
      </c>
      <c r="H42" s="36">
        <f>'T7-10'!AH$5</f>
        <v>418.4</v>
      </c>
      <c r="I42" s="51">
        <f>'T7-10'!AI$5</f>
        <v>7.95</v>
      </c>
      <c r="J42" s="37">
        <f>'T7-10'!AF$10</f>
        <v>9</v>
      </c>
      <c r="K42" s="36">
        <f>'T7-10'!AG$10</f>
        <v>250.8</v>
      </c>
      <c r="L42" s="36">
        <f>'T7-10'!AH$10</f>
        <v>576.6</v>
      </c>
      <c r="M42" s="51">
        <f>'T7-10'!AI$10</f>
        <v>5.19</v>
      </c>
      <c r="N42" s="37">
        <f>'T7-10'!AF$11</f>
        <v>20</v>
      </c>
      <c r="O42" s="36">
        <f>'T7-10'!AG$11</f>
        <v>224.8</v>
      </c>
      <c r="P42" s="36">
        <f>'T7-10'!AH$11</f>
        <v>373</v>
      </c>
      <c r="Q42" s="51">
        <f>'T7-10'!AI$11</f>
        <v>7.46</v>
      </c>
      <c r="R42" s="36">
        <f>'T7-10'!AF$12</f>
        <v>30</v>
      </c>
      <c r="S42" s="36">
        <f>'T7-10'!AG$12</f>
        <v>269.77</v>
      </c>
      <c r="T42" s="36">
        <f>'T7-10'!AH$12</f>
        <v>411.33</v>
      </c>
      <c r="U42" s="50">
        <f>'T7-10'!AI$12</f>
        <v>12.34</v>
      </c>
      <c r="V42" s="39">
        <f>'T7-10'!AJ$5</f>
        <v>9</v>
      </c>
      <c r="W42" s="38">
        <f>'T7-10'!AK$5</f>
        <v>49.3</v>
      </c>
      <c r="X42" s="38">
        <f>'T7-10'!AL$5</f>
        <v>48.9</v>
      </c>
      <c r="Y42" s="48">
        <f>'T7-10'!AM$5</f>
        <v>0.44</v>
      </c>
      <c r="Z42" s="40">
        <f>'T7-10'!AJ$4</f>
        <v>19</v>
      </c>
      <c r="AA42" s="38">
        <f>'T7-10'!AK$4</f>
        <v>38.049999999999997</v>
      </c>
      <c r="AB42" s="38">
        <f>'T7-10'!AL$4</f>
        <v>50.53</v>
      </c>
      <c r="AC42" s="48">
        <f>'T7-10'!AM$4</f>
        <v>0.96</v>
      </c>
      <c r="AD42" s="40">
        <f>'T7-10'!AF$16</f>
        <v>10</v>
      </c>
      <c r="AE42" s="38">
        <f>'T7-10'!AG$16</f>
        <v>50.6</v>
      </c>
      <c r="AF42" s="38">
        <f>'T7-10'!AH$16</f>
        <v>80</v>
      </c>
      <c r="AG42" s="48">
        <f>'T7-10'!AI$16</f>
        <v>0.8</v>
      </c>
      <c r="AH42" s="40">
        <f>'T7-10'!AF$17</f>
        <v>13</v>
      </c>
      <c r="AI42" s="38">
        <f>'T7-10'!AG$17</f>
        <v>54.9</v>
      </c>
      <c r="AJ42" s="38">
        <f>'T7-10'!AH$17</f>
        <v>89.23</v>
      </c>
      <c r="AK42" s="48">
        <f>'T7-10'!AI$17</f>
        <v>1.1599999999999999</v>
      </c>
      <c r="AL42" s="38">
        <f>'T7-10'!AF$18</f>
        <v>19</v>
      </c>
      <c r="AM42" s="38">
        <f>'T7-10'!AG$18</f>
        <v>37.68</v>
      </c>
      <c r="AN42" s="38">
        <f>'T7-10'!AH$18</f>
        <v>79.47</v>
      </c>
      <c r="AO42" s="47">
        <f>'T7-10'!AI$18</f>
        <v>1.5</v>
      </c>
      <c r="AP42" s="42">
        <f>'T7-10'!AJ$11</f>
        <v>9</v>
      </c>
      <c r="AQ42" s="41">
        <f>'T7-10'!AK$11</f>
        <v>49.11</v>
      </c>
      <c r="AR42" s="41">
        <f>'T7-10'!AL$11</f>
        <v>83.33</v>
      </c>
      <c r="AS42" s="45">
        <f>'T7-10'!AM$11</f>
        <v>0.75</v>
      </c>
      <c r="AT42" s="43">
        <f>'T7-10'!AJ$10</f>
        <v>11</v>
      </c>
      <c r="AU42" s="41">
        <f>'T7-10'!AK$10</f>
        <v>50.27</v>
      </c>
      <c r="AV42" s="41">
        <f>'T7-10'!AL$10</f>
        <v>131.80000000000001</v>
      </c>
      <c r="AW42" s="45">
        <f>'T7-10'!AM$10</f>
        <v>1.45</v>
      </c>
      <c r="AX42" s="43">
        <f>'T7-10'!AJ$17</f>
        <v>8</v>
      </c>
      <c r="AY42" s="41">
        <f>'T7-10'!AK$17</f>
        <v>78.400000000000006</v>
      </c>
      <c r="AZ42" s="41">
        <f>'T7-10'!AL$17</f>
        <v>306.3</v>
      </c>
      <c r="BA42" s="45">
        <f>'T7-10'!AM$17</f>
        <v>2.4500000000000002</v>
      </c>
      <c r="BB42" s="43">
        <f>'T7-10'!AJ$16</f>
        <v>16</v>
      </c>
      <c r="BC42" s="41">
        <f>'T7-10'!AK$16</f>
        <v>60.44</v>
      </c>
      <c r="BD42" s="41">
        <f>'T7-10'!AL$16</f>
        <v>201.25</v>
      </c>
      <c r="BE42" s="45">
        <f>'T7-10'!AM$16</f>
        <v>3.22</v>
      </c>
      <c r="BF42" s="43">
        <f>'T7-10'!AJ$15</f>
        <v>21</v>
      </c>
      <c r="BG42" s="41">
        <f>'T7-10'!AK$15</f>
        <v>60.66</v>
      </c>
      <c r="BH42" s="41">
        <f>'T7-10'!AL$15</f>
        <v>135.69999999999999</v>
      </c>
      <c r="BI42" s="44">
        <f>'T7-10'!AM$15</f>
        <v>2.85</v>
      </c>
    </row>
    <row r="43" spans="1:61">
      <c r="A43" s="53" t="s">
        <v>67</v>
      </c>
      <c r="B43" s="35">
        <f>'W9-12'!V$4</f>
        <v>10</v>
      </c>
      <c r="C43" s="36">
        <f>'W9-12'!W$4</f>
        <v>289</v>
      </c>
      <c r="D43" s="36">
        <f>'W9-12'!X$4</f>
        <v>628</v>
      </c>
      <c r="E43" s="51">
        <f>'W9-12'!Y$4</f>
        <v>6.28</v>
      </c>
      <c r="F43" s="37">
        <f>'W9-12'!V$5</f>
        <v>20</v>
      </c>
      <c r="G43" s="36">
        <f>'W9-12'!W$5</f>
        <v>239</v>
      </c>
      <c r="H43" s="36">
        <f>'W9-12'!X$5</f>
        <v>329</v>
      </c>
      <c r="I43" s="51">
        <f>'W9-12'!Y$5</f>
        <v>6.57</v>
      </c>
      <c r="J43" s="37">
        <f>'W9-12'!V$10</f>
        <v>10</v>
      </c>
      <c r="K43" s="36">
        <f>'W9-12'!W$10</f>
        <v>231</v>
      </c>
      <c r="L43" s="36">
        <f>'W9-12'!X$10</f>
        <v>374</v>
      </c>
      <c r="M43" s="51">
        <f>'W9-12'!Y$10</f>
        <v>3.74</v>
      </c>
      <c r="N43" s="37">
        <f>'W9-12'!V$11</f>
        <v>19</v>
      </c>
      <c r="O43" s="36">
        <f>'W9-12'!W$11</f>
        <v>238</v>
      </c>
      <c r="P43" s="36">
        <f>'W9-12'!X$11</f>
        <v>278.89999999999998</v>
      </c>
      <c r="Q43" s="51">
        <f>'W9-12'!Y$11</f>
        <v>5.3</v>
      </c>
      <c r="R43" s="36">
        <f>'W9-12'!V$12</f>
        <v>30</v>
      </c>
      <c r="S43" s="36">
        <f>'W9-12'!W$12</f>
        <v>249</v>
      </c>
      <c r="T43" s="36">
        <f>'W9-12'!X$12</f>
        <v>276</v>
      </c>
      <c r="U43" s="50">
        <f>'W9-12'!Y$12</f>
        <v>8.27</v>
      </c>
      <c r="V43" s="39">
        <f>'W9-12'!Z$5</f>
        <v>7</v>
      </c>
      <c r="W43" s="38">
        <f>'W9-12'!AA$5</f>
        <v>38</v>
      </c>
      <c r="X43" s="38">
        <f>'W9-12'!AB$5</f>
        <v>29</v>
      </c>
      <c r="Y43" s="48">
        <f>'W9-12'!AC$5</f>
        <v>0.2</v>
      </c>
      <c r="Z43" s="40">
        <f>'W9-12'!Z$4</f>
        <v>15</v>
      </c>
      <c r="AA43" s="38">
        <f>'W9-12'!AA$4</f>
        <v>48</v>
      </c>
      <c r="AB43" s="38">
        <f>'W9-12'!AB$4</f>
        <v>77</v>
      </c>
      <c r="AC43" s="48">
        <f>'W9-12'!AC$4</f>
        <v>1.1499999999999999</v>
      </c>
      <c r="AD43" s="40">
        <f>'W9-12'!V$16</f>
        <v>8</v>
      </c>
      <c r="AE43" s="38">
        <f>'W9-12'!W$16</f>
        <v>46.25</v>
      </c>
      <c r="AF43" s="38">
        <f>'W9-12'!X$16</f>
        <v>71.25</v>
      </c>
      <c r="AG43" s="48">
        <f>'W9-12'!Y$16</f>
        <v>0.56999999999999995</v>
      </c>
      <c r="AH43" s="40">
        <f>'W9-12'!V$17</f>
        <v>18</v>
      </c>
      <c r="AI43" s="38">
        <f>'W9-12'!W$17</f>
        <v>60</v>
      </c>
      <c r="AJ43" s="38">
        <f>'W9-12'!X$17</f>
        <v>161</v>
      </c>
      <c r="AK43" s="48">
        <f>'W9-12'!Y$17</f>
        <v>2.9</v>
      </c>
      <c r="AL43" s="38">
        <f>'W9-12'!V$18</f>
        <v>26</v>
      </c>
      <c r="AM43" s="38">
        <f>'W9-12'!W$18</f>
        <v>53</v>
      </c>
      <c r="AN43" s="38">
        <f>'W9-12'!X$18</f>
        <v>125</v>
      </c>
      <c r="AO43" s="47">
        <f>'W9-12'!Y$18</f>
        <v>3.24</v>
      </c>
      <c r="AP43" s="42">
        <f>'W9-12'!Z$11</f>
        <v>8</v>
      </c>
      <c r="AQ43" s="41">
        <f>'W9-12'!AA$11</f>
        <v>67.38</v>
      </c>
      <c r="AR43" s="41">
        <f>'W9-12'!AB$11</f>
        <v>133.75</v>
      </c>
      <c r="AS43" s="45">
        <f>'W9-12'!AC$11</f>
        <v>1.07</v>
      </c>
      <c r="AT43" s="43">
        <f>'W9-12'!Z$10</f>
        <v>17</v>
      </c>
      <c r="AU43" s="41">
        <f>'W9-12'!AA$10</f>
        <v>41</v>
      </c>
      <c r="AV43" s="41">
        <f>'W9-12'!AB$10</f>
        <v>82</v>
      </c>
      <c r="AW43" s="45">
        <f>'W9-12'!AC$10</f>
        <v>1.39</v>
      </c>
      <c r="AX43" s="43">
        <f>'W9-12'!Z$17</f>
        <v>5</v>
      </c>
      <c r="AY43" s="41">
        <f>'W9-12'!AA$17</f>
        <v>53.2</v>
      </c>
      <c r="AZ43" s="41">
        <f>'W9-12'!AB$17</f>
        <v>126</v>
      </c>
      <c r="BA43" s="45">
        <f>'W9-12'!AC$17</f>
        <v>0.63</v>
      </c>
      <c r="BB43" s="43">
        <f>'W9-12'!Z$16</f>
        <v>13</v>
      </c>
      <c r="BC43" s="41">
        <f>'W9-12'!AA$16</f>
        <v>59.2</v>
      </c>
      <c r="BD43" s="41">
        <f>'W9-12'!AB$16</f>
        <v>103.8</v>
      </c>
      <c r="BE43" s="45">
        <f>'W9-12'!AC$16</f>
        <v>1.35</v>
      </c>
      <c r="BF43" s="43">
        <f>'W9-12'!Z$15</f>
        <v>21</v>
      </c>
      <c r="BG43" s="41">
        <f>'W9-12'!AA$15</f>
        <v>59.43</v>
      </c>
      <c r="BH43" s="41">
        <f>'W9-12'!AB$15</f>
        <v>126.19</v>
      </c>
      <c r="BI43" s="44">
        <f>'W9-12'!AC$15</f>
        <v>2.65</v>
      </c>
    </row>
    <row r="44" spans="1:61">
      <c r="A44" s="53" t="s">
        <v>68</v>
      </c>
      <c r="B44" s="35">
        <f>'W9-12'!AF$4</f>
        <v>10</v>
      </c>
      <c r="C44" s="36">
        <f>'W9-12'!AG$4</f>
        <v>257</v>
      </c>
      <c r="D44" s="36">
        <f>'W9-12'!AH$4</f>
        <v>582</v>
      </c>
      <c r="E44" s="51">
        <f>'W9-12'!AI$4</f>
        <v>5.82</v>
      </c>
      <c r="F44" s="37">
        <f>'W9-12'!AF$5</f>
        <v>20</v>
      </c>
      <c r="G44" s="36">
        <f>'W9-12'!AG$5</f>
        <v>202.25</v>
      </c>
      <c r="H44" s="36">
        <f>'W9-12'!AH$5</f>
        <v>384</v>
      </c>
      <c r="I44" s="51">
        <f>'W9-12'!AI$5</f>
        <v>7.68</v>
      </c>
      <c r="J44" s="37" t="str">
        <f>'W9-12'!AF$10</f>
        <v>na</v>
      </c>
      <c r="K44" s="36" t="str">
        <f>'W9-12'!AG$10</f>
        <v>na</v>
      </c>
      <c r="L44" s="36" t="str">
        <f>'W9-12'!AH$10</f>
        <v>na</v>
      </c>
      <c r="M44" s="51" t="str">
        <f>'W9-12'!AI$10</f>
        <v>na</v>
      </c>
      <c r="N44" s="37">
        <f>'W9-12'!AF$11</f>
        <v>16</v>
      </c>
      <c r="O44" s="36">
        <f>'W9-12'!AG$11</f>
        <v>231.4375</v>
      </c>
      <c r="P44" s="36">
        <f>'W9-12'!AH$11</f>
        <v>445.625</v>
      </c>
      <c r="Q44" s="51">
        <f>'W9-12'!AI$11</f>
        <v>7.13</v>
      </c>
      <c r="R44" s="36">
        <f>'W9-12'!AF$12</f>
        <v>27</v>
      </c>
      <c r="S44" s="36">
        <f>'W9-12'!AG$12</f>
        <v>200.22</v>
      </c>
      <c r="T44" s="36">
        <f>'W9-12'!AH$12</f>
        <v>361.851</v>
      </c>
      <c r="U44" s="50">
        <f>'W9-12'!AI$12</f>
        <v>9.77</v>
      </c>
      <c r="V44" s="39">
        <f>'W9-12'!AJ$5</f>
        <v>9</v>
      </c>
      <c r="W44" s="38">
        <f>'W9-12'!AK$5</f>
        <v>42.222200000000001</v>
      </c>
      <c r="X44" s="38">
        <f>'W9-12'!AL$5</f>
        <v>55.555500000000002</v>
      </c>
      <c r="Y44" s="48">
        <f>'W9-12'!AM$5</f>
        <v>0.5</v>
      </c>
      <c r="Z44" s="40">
        <f>'W9-12'!AJ$4</f>
        <v>13</v>
      </c>
      <c r="AA44" s="38">
        <f>'W9-12'!AK$4</f>
        <v>42.076900000000002</v>
      </c>
      <c r="AB44" s="38">
        <f>'W9-12'!AL$4</f>
        <v>47.692300000000003</v>
      </c>
      <c r="AC44" s="48">
        <f>'W9-12'!AM$4</f>
        <v>0.62</v>
      </c>
      <c r="AD44" s="40">
        <f>'W9-12'!AF$16</f>
        <v>7</v>
      </c>
      <c r="AE44" s="38">
        <f>'W9-12'!AG$16</f>
        <v>41.857142000000003</v>
      </c>
      <c r="AF44" s="38">
        <f>'W9-12'!AH$16</f>
        <v>71.428571430000005</v>
      </c>
      <c r="AG44" s="48">
        <f>'W9-12'!AI$16</f>
        <v>0.5</v>
      </c>
      <c r="AH44" s="40">
        <f>'W9-12'!AF$17</f>
        <v>14</v>
      </c>
      <c r="AI44" s="38">
        <f>'W9-12'!AG$17</f>
        <v>48.785699999999999</v>
      </c>
      <c r="AJ44" s="38">
        <f>'W9-12'!AH$17</f>
        <v>86.428569999999993</v>
      </c>
      <c r="AK44" s="48">
        <f>'W9-12'!AI$17</f>
        <v>1.21</v>
      </c>
      <c r="AL44" s="38">
        <f>'W9-12'!AF$18</f>
        <v>26</v>
      </c>
      <c r="AM44" s="38">
        <f>'W9-12'!AG$18</f>
        <v>43.384610000000002</v>
      </c>
      <c r="AN44" s="38">
        <f>'W9-12'!AH$18</f>
        <v>76.153000000000006</v>
      </c>
      <c r="AO44" s="47">
        <f>'W9-12'!AI$18</f>
        <v>1.98</v>
      </c>
      <c r="AP44" s="42">
        <f>'W9-12'!AJ$11</f>
        <v>10</v>
      </c>
      <c r="AQ44" s="41">
        <f>'W9-12'!AK$11</f>
        <v>34.1</v>
      </c>
      <c r="AR44" s="41">
        <f>'W9-12'!AL$11</f>
        <v>62</v>
      </c>
      <c r="AS44" s="45">
        <f>'W9-12'!AM$11</f>
        <v>0.62</v>
      </c>
      <c r="AT44" s="43" t="str">
        <f>'W9-12'!AJ$10</f>
        <v>na</v>
      </c>
      <c r="AU44" s="41" t="str">
        <f>'W9-12'!AK$10</f>
        <v>na</v>
      </c>
      <c r="AV44" s="41" t="str">
        <f>'W9-12'!AL$10</f>
        <v>na</v>
      </c>
      <c r="AW44" s="45" t="str">
        <f>'W9-12'!AM$10</f>
        <v>na</v>
      </c>
      <c r="AX44" s="43">
        <f>'W9-12'!AJ$17</f>
        <v>10</v>
      </c>
      <c r="AY44" s="41">
        <f>'W9-12'!AK$17</f>
        <v>76.900000000000006</v>
      </c>
      <c r="AZ44" s="41">
        <f>'W9-12'!AL$17</f>
        <v>232</v>
      </c>
      <c r="BA44" s="45">
        <f>'W9-12'!AM$17</f>
        <v>2.3199999999999998</v>
      </c>
      <c r="BB44" s="43">
        <f>'W9-12'!AJ$16</f>
        <v>16</v>
      </c>
      <c r="BC44" s="41">
        <f>'W9-12'!AK$16</f>
        <v>64.5</v>
      </c>
      <c r="BD44" s="41">
        <f>'W9-12'!AL$16</f>
        <v>217.5</v>
      </c>
      <c r="BE44" s="45">
        <f>'W9-12'!AM$16</f>
        <v>3.48</v>
      </c>
      <c r="BF44" s="43">
        <f>'W9-12'!AJ$15</f>
        <v>18</v>
      </c>
      <c r="BG44" s="41">
        <f>'W9-12'!AK$15</f>
        <v>64.44</v>
      </c>
      <c r="BH44" s="41">
        <f>'W9-12'!AL$15</f>
        <v>121.67</v>
      </c>
      <c r="BI44" s="44">
        <f>'W9-12'!AM$15</f>
        <v>2.19</v>
      </c>
    </row>
    <row r="45" spans="1:61">
      <c r="A45" s="53" t="s">
        <v>71</v>
      </c>
      <c r="B45" s="35">
        <f>'W2-5'!V$4</f>
        <v>10</v>
      </c>
      <c r="C45" s="36">
        <f>'W2-5'!W$4</f>
        <v>157</v>
      </c>
      <c r="D45" s="36">
        <f>'W2-5'!X$4</f>
        <v>227</v>
      </c>
      <c r="E45" s="51">
        <f>'W2-5'!Y$4</f>
        <v>2.27</v>
      </c>
      <c r="F45" s="37">
        <f>'W2-5'!V$5</f>
        <v>19</v>
      </c>
      <c r="G45" s="36">
        <f>'W2-5'!W$5</f>
        <v>145.19999999999999</v>
      </c>
      <c r="H45" s="36">
        <f>'W2-5'!X$5</f>
        <v>184.2</v>
      </c>
      <c r="I45" s="51">
        <f>'W2-5'!Y$5</f>
        <v>3.5</v>
      </c>
      <c r="J45" s="37">
        <f>'W2-5'!V$10</f>
        <v>10</v>
      </c>
      <c r="K45" s="36">
        <f>'W2-5'!W$10</f>
        <v>153.1</v>
      </c>
      <c r="L45" s="36">
        <f>'W2-5'!X$10</f>
        <v>114</v>
      </c>
      <c r="M45" s="51">
        <f>'W2-5'!Y$10</f>
        <v>1.1399999999999999</v>
      </c>
      <c r="N45" s="37">
        <f>'W2-5'!V$11</f>
        <v>20</v>
      </c>
      <c r="O45" s="36">
        <f>'W2-5'!W$11</f>
        <v>154.82</v>
      </c>
      <c r="P45" s="36">
        <f>'W2-5'!X$11</f>
        <v>104</v>
      </c>
      <c r="Q45" s="51">
        <f>'W2-5'!Y$11</f>
        <v>2.08</v>
      </c>
      <c r="R45" s="36">
        <f>'W2-5'!V$12</f>
        <v>29</v>
      </c>
      <c r="S45" s="36">
        <f>'W2-5'!W$12</f>
        <v>151.93</v>
      </c>
      <c r="T45" s="36">
        <f>'W2-5'!X$12</f>
        <v>164.8</v>
      </c>
      <c r="U45" s="50">
        <f>'W2-5'!Y$12</f>
        <v>4.78</v>
      </c>
      <c r="V45" s="39">
        <f>'W2-5'!Z$5</f>
        <v>8</v>
      </c>
      <c r="W45" s="38">
        <f>'W2-5'!AA$5</f>
        <v>40.1</v>
      </c>
      <c r="X45" s="38">
        <f>'W2-5'!AB$5</f>
        <v>38.799999999999997</v>
      </c>
      <c r="Y45" s="48">
        <f>'W2-5'!AC$5</f>
        <v>0.31</v>
      </c>
      <c r="Z45" s="40">
        <f>'W2-5'!Z$4</f>
        <v>17</v>
      </c>
      <c r="AA45" s="38">
        <f>'W2-5'!AA$4</f>
        <v>27.9</v>
      </c>
      <c r="AB45" s="38">
        <f>'W2-5'!AB$4</f>
        <v>31.8</v>
      </c>
      <c r="AC45" s="48">
        <f>'W2-5'!AC$4</f>
        <v>0.54</v>
      </c>
      <c r="AD45" s="40">
        <f>'W2-5'!V$16</f>
        <v>7</v>
      </c>
      <c r="AE45" s="38">
        <f>'W2-5'!W$16</f>
        <v>34</v>
      </c>
      <c r="AF45" s="38">
        <f>'W2-5'!X$16</f>
        <v>21.43</v>
      </c>
      <c r="AG45" s="48">
        <f>'W2-5'!Y$16</f>
        <v>0.15</v>
      </c>
      <c r="AH45" s="40">
        <f>'W2-5'!V$17</f>
        <v>16</v>
      </c>
      <c r="AI45" s="38">
        <f>'W2-5'!W$17</f>
        <v>36.75</v>
      </c>
      <c r="AJ45" s="38">
        <f>'W2-5'!X$17</f>
        <v>31.25</v>
      </c>
      <c r="AK45" s="48">
        <f>'W2-5'!Y$17</f>
        <v>0.5</v>
      </c>
      <c r="AL45" s="38">
        <f>'W2-5'!V$18</f>
        <v>25</v>
      </c>
      <c r="AM45" s="38">
        <f>'W2-5'!W$18</f>
        <v>40.799999999999997</v>
      </c>
      <c r="AN45" s="38">
        <f>'W2-5'!X$18</f>
        <v>57.6</v>
      </c>
      <c r="AO45" s="47">
        <f>'W2-5'!Y$18</f>
        <v>1.44</v>
      </c>
      <c r="AP45" s="42">
        <f>'W2-5'!Z$11</f>
        <v>10</v>
      </c>
      <c r="AQ45" s="41">
        <f>'W2-5'!AA$11</f>
        <v>48.4</v>
      </c>
      <c r="AR45" s="41">
        <f>'W2-5'!AB$11</f>
        <v>46</v>
      </c>
      <c r="AS45" s="45">
        <f>'W2-5'!AC$11</f>
        <v>0.46</v>
      </c>
      <c r="AT45" s="43">
        <f>'W2-5'!Z$10</f>
        <v>13</v>
      </c>
      <c r="AU45" s="41">
        <f>'W2-5'!AA$10</f>
        <v>70.069999999999993</v>
      </c>
      <c r="AV45" s="41">
        <f>'W2-5'!AB$10</f>
        <v>90</v>
      </c>
      <c r="AW45" s="45">
        <f>'W2-5'!AC$10</f>
        <v>1.17</v>
      </c>
      <c r="AX45" s="43">
        <f>'W2-5'!Z$17</f>
        <v>8</v>
      </c>
      <c r="AY45" s="41">
        <f>'W2-5'!AA$17</f>
        <v>63</v>
      </c>
      <c r="AZ45" s="41">
        <f>'W2-5'!AB$17</f>
        <v>160</v>
      </c>
      <c r="BA45" s="45">
        <f>'W2-5'!AC$17</f>
        <v>1.28</v>
      </c>
      <c r="BB45" s="43">
        <f>'W2-5'!Z$16</f>
        <v>14</v>
      </c>
      <c r="BC45" s="41">
        <f>'W2-5'!AA$16</f>
        <v>74.5</v>
      </c>
      <c r="BD45" s="41">
        <f>'W2-5'!AB$16</f>
        <v>118.57</v>
      </c>
      <c r="BE45" s="45">
        <f>'W2-5'!AC$16</f>
        <v>1.66</v>
      </c>
      <c r="BF45" s="43">
        <f>'W2-5'!Z$15</f>
        <v>26</v>
      </c>
      <c r="BG45" s="41">
        <f>'W2-5'!AA$15</f>
        <v>54</v>
      </c>
      <c r="BH45" s="41">
        <f>'W2-5'!AB$15</f>
        <v>80.769000000000005</v>
      </c>
      <c r="BI45" s="44">
        <f>'W2-5'!AC$15</f>
        <v>2.1</v>
      </c>
    </row>
    <row r="46" spans="1:61">
      <c r="A46" s="53" t="s">
        <v>72</v>
      </c>
      <c r="B46" s="93">
        <f>'W2-5'!AF$4</f>
        <v>14</v>
      </c>
      <c r="C46" s="36">
        <f>'W2-5'!AG$4</f>
        <v>225.071</v>
      </c>
      <c r="D46" s="36">
        <f>'W2-5'!AH$4</f>
        <v>381.428</v>
      </c>
      <c r="E46" s="51">
        <f>'W2-5'!AI$4</f>
        <v>5.34</v>
      </c>
      <c r="F46" s="37">
        <f>'W2-5'!AF$5</f>
        <v>19</v>
      </c>
      <c r="G46" s="36">
        <f>'W2-5'!AG$5</f>
        <v>262.73</v>
      </c>
      <c r="H46" s="36">
        <f>'W2-5'!AH$5</f>
        <v>453.68</v>
      </c>
      <c r="I46" s="51">
        <f>'W2-5'!AI$5</f>
        <v>8.6199999999999992</v>
      </c>
      <c r="J46" s="37">
        <f>'W2-5'!AF$10</f>
        <v>10</v>
      </c>
      <c r="K46" s="36">
        <f>'W2-5'!AG$10</f>
        <v>264.39999999999998</v>
      </c>
      <c r="L46" s="36">
        <f>'W2-5'!AH$10</f>
        <v>497</v>
      </c>
      <c r="M46" s="51">
        <f>'W2-5'!AI$10</f>
        <v>4.97</v>
      </c>
      <c r="N46" s="37">
        <f>'W2-5'!AF$11</f>
        <v>20</v>
      </c>
      <c r="O46" s="36">
        <f>'W2-5'!AG$11</f>
        <v>269.55</v>
      </c>
      <c r="P46" s="36">
        <f>'W2-5'!AH$11</f>
        <v>429</v>
      </c>
      <c r="Q46" s="51">
        <f>'W2-5'!AI$11</f>
        <v>8.58</v>
      </c>
      <c r="R46" s="36">
        <f>'W2-5'!AF$12</f>
        <v>30</v>
      </c>
      <c r="S46" s="36">
        <f>'W2-5'!AG$12</f>
        <v>260.63</v>
      </c>
      <c r="T46" s="36">
        <f>'W2-5'!AH$12</f>
        <v>353.33</v>
      </c>
      <c r="U46" s="50">
        <f>'W2-5'!AI$12</f>
        <v>10.6</v>
      </c>
      <c r="V46" s="39">
        <f>'W2-5'!AJ$5</f>
        <v>10</v>
      </c>
      <c r="W46" s="38">
        <f>'W2-5'!AK$5</f>
        <v>51</v>
      </c>
      <c r="X46" s="38">
        <f>'W2-5'!AL$5</f>
        <v>56</v>
      </c>
      <c r="Y46" s="48">
        <f>'W2-5'!AM$5</f>
        <v>0.56000000000000005</v>
      </c>
      <c r="Z46" s="90">
        <f>'W2-5'!AJ$4</f>
        <v>21</v>
      </c>
      <c r="AA46" s="38">
        <f>'W2-5'!AK$4</f>
        <v>39.523800000000001</v>
      </c>
      <c r="AB46" s="38">
        <f>'W2-5'!AL$4</f>
        <v>40.467199999999998</v>
      </c>
      <c r="AC46" s="48">
        <f>'W2-5'!AM$4</f>
        <v>0.85</v>
      </c>
      <c r="AD46" s="40">
        <f>'W2-5'!AF$16</f>
        <v>7</v>
      </c>
      <c r="AE46" s="38">
        <f>'W2-5'!AG$16</f>
        <v>49.57</v>
      </c>
      <c r="AF46" s="38">
        <f>'W2-5'!AH$16</f>
        <v>82.85</v>
      </c>
      <c r="AG46" s="48">
        <f>'W2-5'!AI$16</f>
        <v>0.57999999999999996</v>
      </c>
      <c r="AH46" s="40">
        <f>'W2-5'!AF$17</f>
        <v>16</v>
      </c>
      <c r="AI46" s="38">
        <f>'W2-5'!AG$17</f>
        <v>32.875</v>
      </c>
      <c r="AJ46" s="38">
        <f>'W2-5'!AH$17</f>
        <v>80.625</v>
      </c>
      <c r="AK46" s="48">
        <f>'W2-5'!AI$17</f>
        <v>1.29</v>
      </c>
      <c r="AL46" s="38">
        <f>'W2-5'!AF$18</f>
        <v>17</v>
      </c>
      <c r="AM46" s="38">
        <f>'W2-5'!AG$18</f>
        <v>40.18</v>
      </c>
      <c r="AN46" s="38">
        <f>'W2-5'!AH$18</f>
        <v>75.88</v>
      </c>
      <c r="AO46" s="47">
        <f>'W2-5'!AI$18</f>
        <v>1.29</v>
      </c>
      <c r="AP46" s="93">
        <f>'W2-5'!AJ$11</f>
        <v>11</v>
      </c>
      <c r="AQ46" s="41">
        <f>'W2-5'!AK$11</f>
        <v>56.09</v>
      </c>
      <c r="AR46" s="41">
        <f>'W2-5'!AL$11</f>
        <v>60.9</v>
      </c>
      <c r="AS46" s="45">
        <f>'W2-5'!AM$11</f>
        <v>0.67</v>
      </c>
      <c r="AT46" s="43">
        <f>'W2-5'!AJ$10</f>
        <v>20</v>
      </c>
      <c r="AU46" s="41">
        <f>'W2-5'!AK$10</f>
        <v>36.549999999999997</v>
      </c>
      <c r="AV46" s="41">
        <f>'W2-5'!AL$10</f>
        <v>61.5</v>
      </c>
      <c r="AW46" s="45">
        <f>'W2-5'!AM$10</f>
        <v>1.23</v>
      </c>
      <c r="AX46" s="43">
        <f>'W2-5'!AJ$17</f>
        <v>8</v>
      </c>
      <c r="AY46" s="41">
        <f>'W2-5'!AK$17</f>
        <v>33.375</v>
      </c>
      <c r="AZ46" s="41">
        <f>'W2-5'!AL$17</f>
        <v>127.5</v>
      </c>
      <c r="BA46" s="45">
        <f>'W2-5'!AM$17</f>
        <v>1.02</v>
      </c>
      <c r="BB46" s="43">
        <f>'W2-5'!AJ$16</f>
        <v>17</v>
      </c>
      <c r="BC46" s="41">
        <f>'W2-5'!AK$16</f>
        <v>53.12</v>
      </c>
      <c r="BD46" s="41">
        <f>'W2-5'!AL$16</f>
        <v>103.52</v>
      </c>
      <c r="BE46" s="45">
        <f>'W2-5'!AM$16</f>
        <v>1.76</v>
      </c>
      <c r="BF46" s="43">
        <f>'W2-5'!AJ$15</f>
        <v>16</v>
      </c>
      <c r="BG46" s="41">
        <f>'W2-5'!AK$15</f>
        <v>51.375</v>
      </c>
      <c r="BH46" s="41">
        <f>'W2-5'!AL$15</f>
        <v>146.875</v>
      </c>
      <c r="BI46" s="44">
        <f>'W2-5'!AM$15</f>
        <v>2.35</v>
      </c>
    </row>
    <row r="47" spans="1:61">
      <c r="A47" s="53" t="s">
        <v>75</v>
      </c>
      <c r="B47" s="35">
        <f>'W7-10'!V$4</f>
        <v>10</v>
      </c>
      <c r="C47" s="36">
        <f>'W7-10'!W$4</f>
        <v>259</v>
      </c>
      <c r="D47" s="36">
        <f>'W7-10'!X$4</f>
        <v>678</v>
      </c>
      <c r="E47" s="51">
        <f>'W7-10'!Y$4</f>
        <v>6.78</v>
      </c>
      <c r="F47" s="37">
        <f>'W7-10'!V$5</f>
        <v>20</v>
      </c>
      <c r="G47" s="36">
        <f>'W7-10'!W$5</f>
        <v>225.5</v>
      </c>
      <c r="H47" s="36">
        <f>'W7-10'!X$5</f>
        <v>394.5</v>
      </c>
      <c r="I47" s="51">
        <f>'W7-10'!Y$5</f>
        <v>7.89</v>
      </c>
      <c r="J47" s="37">
        <f>'W7-10'!V$10</f>
        <v>6</v>
      </c>
      <c r="K47" s="36">
        <f>'W7-10'!W$10</f>
        <v>61.832999999999998</v>
      </c>
      <c r="L47" s="36">
        <f>'W7-10'!X$10</f>
        <v>243.33333333333334</v>
      </c>
      <c r="M47" s="51">
        <f>'W7-10'!Y$10</f>
        <v>1.46</v>
      </c>
      <c r="N47" s="37">
        <f>'W7-10'!V$11</f>
        <v>19</v>
      </c>
      <c r="O47" s="36">
        <f>'W7-10'!W$11</f>
        <v>225</v>
      </c>
      <c r="P47" s="36">
        <f>'W7-10'!X$11</f>
        <v>290</v>
      </c>
      <c r="Q47" s="51">
        <f>'W7-10'!Y$11</f>
        <v>5.51</v>
      </c>
      <c r="R47" s="36">
        <f>'W7-10'!V$12</f>
        <v>30</v>
      </c>
      <c r="S47" s="36">
        <f>'W7-10'!W$12</f>
        <v>221.3</v>
      </c>
      <c r="T47" s="36">
        <f>'W7-10'!X$12</f>
        <v>364.33333333333331</v>
      </c>
      <c r="U47" s="50">
        <f>'W7-10'!Y$12</f>
        <v>10.93</v>
      </c>
      <c r="V47" s="39">
        <f>'W7-10'!Z$5</f>
        <v>6</v>
      </c>
      <c r="W47" s="38">
        <f>'W7-10'!AA$5</f>
        <v>39.5</v>
      </c>
      <c r="X47" s="38">
        <f>'W7-10'!AB$5</f>
        <v>40</v>
      </c>
      <c r="Y47" s="48">
        <f>'W7-10'!AC$5</f>
        <v>0.24</v>
      </c>
      <c r="Z47" s="40">
        <f>'W7-10'!Z$4</f>
        <v>17</v>
      </c>
      <c r="AA47" s="38">
        <f>'W7-10'!AA$4</f>
        <v>44.17</v>
      </c>
      <c r="AB47" s="38">
        <f>'W7-10'!AB$4</f>
        <v>70.588235294117652</v>
      </c>
      <c r="AC47" s="48">
        <f>'W7-10'!AC$4</f>
        <v>1.2</v>
      </c>
      <c r="AD47" s="40">
        <f>'W7-10'!V$16</f>
        <v>9</v>
      </c>
      <c r="AE47" s="38">
        <f>'W7-10'!W$16</f>
        <v>44.44</v>
      </c>
      <c r="AF47" s="38">
        <f>'W7-10'!X$16</f>
        <v>73.333333333333329</v>
      </c>
      <c r="AG47" s="48">
        <f>'W7-10'!Y$16</f>
        <v>0.66</v>
      </c>
      <c r="AH47" s="40">
        <f>'W7-10'!V$17</f>
        <v>14</v>
      </c>
      <c r="AI47" s="38">
        <f>'W7-10'!W$17</f>
        <v>43.64</v>
      </c>
      <c r="AJ47" s="38">
        <f>'W7-10'!X$17</f>
        <v>71.428571428571431</v>
      </c>
      <c r="AK47" s="48">
        <f>'W7-10'!Y$17</f>
        <v>1</v>
      </c>
      <c r="AL47" s="38">
        <f>'W7-10'!V$18</f>
        <v>25</v>
      </c>
      <c r="AM47" s="38">
        <f>'W7-10'!W$18</f>
        <v>36.32</v>
      </c>
      <c r="AN47" s="38">
        <f>'W7-10'!X$18</f>
        <v>66.8</v>
      </c>
      <c r="AO47" s="47">
        <f>'W7-10'!Y$18</f>
        <v>1.67</v>
      </c>
      <c r="AP47" s="42">
        <f>'W7-10'!Z$11</f>
        <v>4</v>
      </c>
      <c r="AQ47" s="41">
        <f>'W7-10'!AA$11</f>
        <v>45</v>
      </c>
      <c r="AR47" s="41">
        <f>'W7-10'!AB$11</f>
        <v>92.5</v>
      </c>
      <c r="AS47" s="45">
        <f>'W7-10'!AC$11</f>
        <v>0.37</v>
      </c>
      <c r="AT47" s="43">
        <f>'W7-10'!Z$10</f>
        <v>11</v>
      </c>
      <c r="AU47" s="108">
        <f>'W7-10'!AA$10</f>
        <v>237</v>
      </c>
      <c r="AV47" s="108">
        <f>'W7-10'!AB$10</f>
        <v>412.72727272727275</v>
      </c>
      <c r="AW47" s="45">
        <f>'W7-10'!AC$10</f>
        <v>4.54</v>
      </c>
      <c r="AX47" s="43">
        <f>'W7-10'!Z$17</f>
        <v>5</v>
      </c>
      <c r="AY47" s="41">
        <f>'W7-10'!AA$17</f>
        <v>98</v>
      </c>
      <c r="AZ47" s="41">
        <f>'W7-10'!AB$17</f>
        <v>314</v>
      </c>
      <c r="BA47" s="45">
        <f>'W7-10'!AC$17</f>
        <v>1.57</v>
      </c>
      <c r="BB47" s="43">
        <f>'W7-10'!Z$16</f>
        <v>10</v>
      </c>
      <c r="BC47" s="41">
        <f>'W7-10'!AA$16</f>
        <v>93.5</v>
      </c>
      <c r="BD47" s="41">
        <f>'W7-10'!AB$16</f>
        <v>223</v>
      </c>
      <c r="BE47" s="45">
        <f>'W7-10'!AC$16</f>
        <v>2.23</v>
      </c>
      <c r="BF47" s="90">
        <f>'W7-10'!Z$15</f>
        <v>7</v>
      </c>
      <c r="BG47" s="41">
        <f>'W7-10'!AA$15</f>
        <v>92</v>
      </c>
      <c r="BH47" s="41">
        <f>'W7-10'!AB$15</f>
        <v>388.57142857142856</v>
      </c>
      <c r="BI47" s="44">
        <f>'W7-10'!AC$15</f>
        <v>2.72</v>
      </c>
    </row>
    <row r="48" spans="1:61">
      <c r="A48" s="53" t="s">
        <v>76</v>
      </c>
      <c r="B48" s="35">
        <f>'W7-10'!AF$4</f>
        <v>10</v>
      </c>
      <c r="C48" s="36">
        <f>'W7-10'!AG$4</f>
        <v>247.9</v>
      </c>
      <c r="D48" s="36">
        <f>'W7-10'!AH$4</f>
        <v>591</v>
      </c>
      <c r="E48" s="51">
        <f>'W7-10'!AI$4</f>
        <v>5.91</v>
      </c>
      <c r="F48" s="90">
        <f>'W7-10'!AF$5</f>
        <v>32</v>
      </c>
      <c r="G48" s="36">
        <f>'W7-10'!AG$5</f>
        <v>339</v>
      </c>
      <c r="H48" s="36">
        <f>'W7-10'!AH$5</f>
        <v>326</v>
      </c>
      <c r="I48" s="51">
        <f>'W7-10'!AI$5</f>
        <v>10.45</v>
      </c>
      <c r="J48" s="37">
        <f>'W7-10'!AF$10</f>
        <v>10</v>
      </c>
      <c r="K48" s="36">
        <f>'W7-10'!AG$10</f>
        <v>239</v>
      </c>
      <c r="L48" s="36">
        <f>'W7-10'!AH$10</f>
        <v>504</v>
      </c>
      <c r="M48" s="51">
        <f>'W7-10'!AI$10</f>
        <v>5.04</v>
      </c>
      <c r="N48" s="37">
        <f>'W7-10'!AF$11</f>
        <v>20</v>
      </c>
      <c r="O48" s="36">
        <f>'W7-10'!AG$11</f>
        <v>463.6</v>
      </c>
      <c r="P48" s="36">
        <f>'W7-10'!AH$11</f>
        <v>459</v>
      </c>
      <c r="Q48" s="51">
        <f>'W7-10'!AI$11</f>
        <v>9.18</v>
      </c>
      <c r="R48" s="36">
        <f>'W7-10'!AF$12</f>
        <v>30</v>
      </c>
      <c r="S48" s="36">
        <f>'W7-10'!AG$12</f>
        <v>182.6</v>
      </c>
      <c r="T48" s="36">
        <f>'W7-10'!AH$12</f>
        <v>407</v>
      </c>
      <c r="U48" s="50">
        <f>'W7-10'!AI$12</f>
        <v>12.21</v>
      </c>
      <c r="V48" s="93">
        <f>'W7-10'!AJ$5</f>
        <v>13</v>
      </c>
      <c r="W48" s="108">
        <f>'W7-10'!AK$5</f>
        <v>195.6</v>
      </c>
      <c r="X48" s="38">
        <f>'W7-10'!AL$5</f>
        <v>42.3</v>
      </c>
      <c r="Y48" s="48">
        <f>'W7-10'!AM$5</f>
        <v>0.55000000000000004</v>
      </c>
      <c r="Z48" s="40">
        <f>'W7-10'!AJ$4</f>
        <v>20</v>
      </c>
      <c r="AA48" s="38">
        <f>'W7-10'!AK$4</f>
        <v>47.65</v>
      </c>
      <c r="AB48" s="38">
        <f>'W7-10'!AL$4</f>
        <v>64.5</v>
      </c>
      <c r="AC48" s="48">
        <f>'W7-10'!AM$4</f>
        <v>1.29</v>
      </c>
      <c r="AD48" s="40">
        <f>'W7-10'!AF$16</f>
        <v>5</v>
      </c>
      <c r="AE48" s="38">
        <f>'W7-10'!AG$16</f>
        <v>54.4</v>
      </c>
      <c r="AF48" s="38">
        <f>'W7-10'!AH$16</f>
        <v>102</v>
      </c>
      <c r="AG48" s="48">
        <f>'W7-10'!AI$16</f>
        <v>0.51</v>
      </c>
      <c r="AH48" s="40" t="str">
        <f>'W7-10'!AF$17</f>
        <v>na</v>
      </c>
      <c r="AI48" s="38" t="str">
        <f>'W7-10'!AG$17</f>
        <v>na</v>
      </c>
      <c r="AJ48" s="38" t="str">
        <f>'W7-10'!AH$17</f>
        <v>na</v>
      </c>
      <c r="AK48" s="48" t="str">
        <f>'W7-10'!AI$17</f>
        <v>na</v>
      </c>
      <c r="AL48" s="38">
        <f>'W7-10'!AF$18</f>
        <v>25</v>
      </c>
      <c r="AM48" s="38">
        <f>'W7-10'!AG$18</f>
        <v>70.400000000000006</v>
      </c>
      <c r="AN48" s="38">
        <f>'W7-10'!AH$18</f>
        <v>66</v>
      </c>
      <c r="AO48" s="47">
        <f>'W7-10'!AI$18</f>
        <v>1.65</v>
      </c>
      <c r="AP48" s="42">
        <f>'W7-10'!AJ$11</f>
        <v>8</v>
      </c>
      <c r="AQ48" s="41">
        <f>'W7-10'!AK$11</f>
        <v>39.375</v>
      </c>
      <c r="AR48" s="41">
        <f>'W7-10'!AL$11</f>
        <v>130</v>
      </c>
      <c r="AS48" s="45">
        <f>'W7-10'!AM$11</f>
        <v>1.04</v>
      </c>
      <c r="AT48" s="43">
        <f>'W7-10'!AJ$10</f>
        <v>9</v>
      </c>
      <c r="AU48" s="41">
        <f>'W7-10'!AK$10</f>
        <v>41.7</v>
      </c>
      <c r="AV48" s="41">
        <f>'W7-10'!AL$10</f>
        <v>91.1417</v>
      </c>
      <c r="AW48" s="45">
        <f>'W7-10'!AM$10</f>
        <v>0.82</v>
      </c>
      <c r="AX48" s="43" t="str">
        <f>'W7-10'!AJ$17</f>
        <v>na</v>
      </c>
      <c r="AY48" s="41" t="str">
        <f>'W7-10'!AK$17</f>
        <v>na</v>
      </c>
      <c r="AZ48" s="41" t="str">
        <f>'W7-10'!AL$17</f>
        <v>na</v>
      </c>
      <c r="BA48" s="45" t="str">
        <f>'W7-10'!AM$17</f>
        <v>na</v>
      </c>
      <c r="BB48" s="43">
        <f>'W7-10'!AJ$16</f>
        <v>12</v>
      </c>
      <c r="BC48" s="41">
        <f>'W7-10'!AK$16</f>
        <v>62.42</v>
      </c>
      <c r="BD48" s="41">
        <f>'W7-10'!AL$16</f>
        <v>165.8</v>
      </c>
      <c r="BE48" s="45">
        <f>'W7-10'!AM$16</f>
        <v>1.99</v>
      </c>
      <c r="BF48" s="43">
        <f>'W7-10'!AJ$15</f>
        <v>17</v>
      </c>
      <c r="BG48" s="41">
        <f>'W7-10'!AK$15</f>
        <v>100.3</v>
      </c>
      <c r="BH48" s="41">
        <f>'W7-10'!AL$15</f>
        <v>101</v>
      </c>
      <c r="BI48" s="44">
        <f>'W7-10'!AM$15</f>
        <v>1.72</v>
      </c>
    </row>
    <row r="49" spans="1:61">
      <c r="A49" s="53" t="s">
        <v>79</v>
      </c>
      <c r="B49" s="35">
        <f>'Th9-12'!V$4</f>
        <v>9</v>
      </c>
      <c r="C49" s="36">
        <f>'Th9-12'!W$4</f>
        <v>313.89999999999998</v>
      </c>
      <c r="D49" s="36">
        <f>'Th9-12'!X$4</f>
        <v>510</v>
      </c>
      <c r="E49" s="51">
        <f>'Th9-12'!Y$4</f>
        <v>4.59</v>
      </c>
      <c r="F49" s="37">
        <f>'Th9-12'!V$5</f>
        <v>20</v>
      </c>
      <c r="G49" s="36">
        <f>'Th9-12'!W$5</f>
        <v>251.5</v>
      </c>
      <c r="H49" s="36">
        <f>'Th9-12'!X$5</f>
        <v>400</v>
      </c>
      <c r="I49" s="51">
        <f>'Th9-12'!Y$5</f>
        <v>8</v>
      </c>
      <c r="J49" s="37">
        <f>'Th9-12'!V$10</f>
        <v>10</v>
      </c>
      <c r="K49" s="36">
        <f>'Th9-12'!W$10</f>
        <v>324</v>
      </c>
      <c r="L49" s="36">
        <f>'Th9-12'!X$10</f>
        <v>575</v>
      </c>
      <c r="M49" s="51">
        <f>'Th9-12'!Y$10</f>
        <v>5.75</v>
      </c>
      <c r="N49" s="90">
        <f>'Th9-12'!V$11</f>
        <v>21</v>
      </c>
      <c r="O49" s="36">
        <f>'Th9-12'!W$11</f>
        <v>264.10000000000002</v>
      </c>
      <c r="P49" s="36">
        <f>'Th9-12'!X$11</f>
        <v>416.7</v>
      </c>
      <c r="Q49" s="51">
        <f>'Th9-12'!Y$11</f>
        <v>8.75</v>
      </c>
      <c r="R49" s="36">
        <f>'Th9-12'!V$12</f>
        <v>30</v>
      </c>
      <c r="S49" s="36">
        <f>'Th9-12'!W$12</f>
        <v>263.5</v>
      </c>
      <c r="T49" s="36">
        <f>'Th9-12'!X$12</f>
        <v>298</v>
      </c>
      <c r="U49" s="50">
        <f>'Th9-12'!Y$12</f>
        <v>8.9499999999999993</v>
      </c>
      <c r="V49" s="39">
        <f>'Th9-12'!Z$5</f>
        <v>9</v>
      </c>
      <c r="W49" s="38">
        <f>'Th9-12'!AA$5</f>
        <v>34.6</v>
      </c>
      <c r="X49" s="38">
        <f>'Th9-12'!AB$5</f>
        <v>54.4</v>
      </c>
      <c r="Y49" s="48">
        <f>'Th9-12'!AC$5</f>
        <v>0.49</v>
      </c>
      <c r="Z49" s="40">
        <f>'Th9-12'!Z$4</f>
        <v>18</v>
      </c>
      <c r="AA49" s="38">
        <f>'Th9-12'!AA$4</f>
        <v>40.700000000000003</v>
      </c>
      <c r="AB49" s="38">
        <f>'Th9-12'!AB$4</f>
        <v>57.8</v>
      </c>
      <c r="AC49" s="48">
        <f>'Th9-12'!AC$4</f>
        <v>1.04</v>
      </c>
      <c r="AD49" s="40">
        <f>'Th9-12'!V$16</f>
        <v>8</v>
      </c>
      <c r="AE49" s="38">
        <f>'Th9-12'!W$16</f>
        <v>56.9</v>
      </c>
      <c r="AF49" s="38">
        <f>'Th9-12'!X$16</f>
        <v>40</v>
      </c>
      <c r="AG49" s="48">
        <f>'Th9-12'!Y$16</f>
        <v>0.32</v>
      </c>
      <c r="AH49" s="40">
        <f>'Th9-12'!V$17</f>
        <v>18</v>
      </c>
      <c r="AI49" s="38">
        <f>'Th9-12'!W$17</f>
        <v>44.8</v>
      </c>
      <c r="AJ49" s="38">
        <f>'Th9-12'!X$17</f>
        <v>85.6</v>
      </c>
      <c r="AK49" s="48">
        <f>'Th9-12'!Y$17</f>
        <v>1.54</v>
      </c>
      <c r="AL49" s="38">
        <f>'Th9-12'!V$18</f>
        <v>23</v>
      </c>
      <c r="AM49" s="38">
        <f>'Th9-12'!W$18</f>
        <v>44.5</v>
      </c>
      <c r="AN49" s="38">
        <f>'Th9-12'!X$18</f>
        <v>80.400000000000006</v>
      </c>
      <c r="AO49" s="47">
        <f>'Th9-12'!Y$18</f>
        <v>1.85</v>
      </c>
      <c r="AP49" s="42">
        <f>'Th9-12'!Z$11</f>
        <v>7</v>
      </c>
      <c r="AQ49" s="41">
        <f>'Th9-12'!AA$11</f>
        <v>73.400000000000006</v>
      </c>
      <c r="AR49" s="41">
        <f>'Th9-12'!AB$11</f>
        <v>180</v>
      </c>
      <c r="AS49" s="45">
        <f>'Th9-12'!AC$11</f>
        <v>1.26</v>
      </c>
      <c r="AT49" s="43">
        <f>'Th9-12'!Z$10</f>
        <v>7</v>
      </c>
      <c r="AU49" s="41">
        <f>'Th9-12'!AA$10</f>
        <v>60.7</v>
      </c>
      <c r="AV49" s="41">
        <f>'Th9-12'!AB$10</f>
        <v>138.6</v>
      </c>
      <c r="AW49" s="45">
        <f>'Th9-12'!AC$10</f>
        <v>0.97</v>
      </c>
      <c r="AX49" s="43">
        <f>'Th9-12'!Z$17</f>
        <v>9</v>
      </c>
      <c r="AY49" s="41">
        <f>'Th9-12'!AA$17</f>
        <v>78.099999999999994</v>
      </c>
      <c r="AZ49" s="41">
        <f>'Th9-12'!AB$17</f>
        <v>205.6</v>
      </c>
      <c r="BA49" s="45">
        <f>'Th9-12'!AC$17</f>
        <v>1.85</v>
      </c>
      <c r="BB49" s="43">
        <f>'Th9-12'!Z$16</f>
        <v>11</v>
      </c>
      <c r="BC49" s="41">
        <f>'Th9-12'!AA$16</f>
        <v>90.45</v>
      </c>
      <c r="BD49" s="41">
        <f>'Th9-12'!AB$16</f>
        <v>135.5</v>
      </c>
      <c r="BE49" s="45">
        <f>'Th9-12'!AC$16</f>
        <v>1.49</v>
      </c>
      <c r="BF49" s="43">
        <f>'Th9-12'!Z$15</f>
        <v>24</v>
      </c>
      <c r="BG49" s="41">
        <f>'Th9-12'!AA$15</f>
        <v>61.3</v>
      </c>
      <c r="BH49" s="41">
        <f>'Th9-12'!AB$15</f>
        <v>92.5</v>
      </c>
      <c r="BI49" s="44">
        <f>'Th9-12'!AC$15</f>
        <v>2.2200000000000002</v>
      </c>
    </row>
    <row r="50" spans="1:61">
      <c r="A50" s="53" t="s">
        <v>80</v>
      </c>
      <c r="B50" s="35">
        <f>'Th9-12'!AF$4</f>
        <v>10</v>
      </c>
      <c r="C50" s="36">
        <f>'Th9-12'!AG$4</f>
        <v>234</v>
      </c>
      <c r="D50" s="36">
        <f>'Th9-12'!AH$4</f>
        <v>481</v>
      </c>
      <c r="E50" s="51">
        <f>'Th9-12'!AI$4</f>
        <v>4.8099999999999996</v>
      </c>
      <c r="F50" s="37">
        <f>'Th9-12'!AF$5</f>
        <v>19</v>
      </c>
      <c r="G50" s="36">
        <f>'Th9-12'!AG$5</f>
        <v>261</v>
      </c>
      <c r="H50" s="36">
        <f>'Th9-12'!AH$5</f>
        <v>468.42105199999997</v>
      </c>
      <c r="I50" s="51">
        <f>'Th9-12'!AI$5</f>
        <v>8.9</v>
      </c>
      <c r="J50" s="37">
        <f>'Th9-12'!AF$10</f>
        <v>10</v>
      </c>
      <c r="K50" s="36">
        <f>'Th9-12'!AG$10</f>
        <v>216.7</v>
      </c>
      <c r="L50" s="36">
        <f>'Th9-12'!AH$10</f>
        <v>301</v>
      </c>
      <c r="M50" s="51">
        <f>'Th9-12'!AI$10</f>
        <v>3.01</v>
      </c>
      <c r="N50" s="37">
        <f>'Th9-12'!AF$11</f>
        <v>20</v>
      </c>
      <c r="O50" s="36">
        <f>'Th9-12'!AG$11</f>
        <v>261.2</v>
      </c>
      <c r="P50" s="36">
        <f>'Th9-12'!AH$11</f>
        <v>470.5</v>
      </c>
      <c r="Q50" s="51">
        <f>'Th9-12'!AI$11</f>
        <v>9.41</v>
      </c>
      <c r="R50" s="36">
        <f>'Th9-12'!AF$12</f>
        <v>29</v>
      </c>
      <c r="S50" s="36">
        <f>'Th9-12'!AG$12</f>
        <v>268</v>
      </c>
      <c r="T50" s="36">
        <f>'Th9-12'!AH$12</f>
        <v>415.17200000000003</v>
      </c>
      <c r="U50" s="50">
        <f>'Th9-12'!AI$12</f>
        <v>12.04</v>
      </c>
      <c r="V50" s="39">
        <f>'Th9-12'!AJ$5</f>
        <v>9</v>
      </c>
      <c r="W50" s="38">
        <f>'Th9-12'!AK$5</f>
        <v>41.666665999999999</v>
      </c>
      <c r="X50" s="38">
        <f>'Th9-12'!AL$5</f>
        <v>66.666659999999993</v>
      </c>
      <c r="Y50" s="48">
        <f>'Th9-12'!AM$5</f>
        <v>0.6</v>
      </c>
      <c r="Z50" s="40">
        <f>'Th9-12'!AJ$4</f>
        <v>15</v>
      </c>
      <c r="AA50" s="38">
        <f>'Th9-12'!AK$4</f>
        <v>42.6</v>
      </c>
      <c r="AB50" s="38">
        <f>'Th9-12'!AL$4</f>
        <v>60.666666999999997</v>
      </c>
      <c r="AC50" s="48">
        <f>'Th9-12'!AM$4</f>
        <v>0.91</v>
      </c>
      <c r="AD50" s="40">
        <f>'Th9-12'!AF$16</f>
        <v>10</v>
      </c>
      <c r="AE50" s="38">
        <f>'Th9-12'!AG$16</f>
        <v>39.9</v>
      </c>
      <c r="AF50" s="38">
        <f>'Th9-12'!AH$16</f>
        <v>50</v>
      </c>
      <c r="AG50" s="48">
        <f>'Th9-12'!AI$16</f>
        <v>0.5</v>
      </c>
      <c r="AH50" s="40">
        <f>'Th9-12'!AF$17</f>
        <v>20</v>
      </c>
      <c r="AI50" s="38">
        <f>'Th9-12'!AG$17</f>
        <v>44.7</v>
      </c>
      <c r="AJ50" s="38">
        <f>'Th9-12'!AH$17</f>
        <v>56.5</v>
      </c>
      <c r="AK50" s="48">
        <f>'Th9-12'!AI$17</f>
        <v>1.1299999999999999</v>
      </c>
      <c r="AL50" s="38">
        <f>'Th9-12'!AF$18</f>
        <v>22</v>
      </c>
      <c r="AM50" s="38">
        <f>'Th9-12'!AG$18</f>
        <v>42.045453999999999</v>
      </c>
      <c r="AN50" s="38">
        <f>'Th9-12'!AH$18</f>
        <v>88.181799999999996</v>
      </c>
      <c r="AO50" s="47">
        <f>'Th9-12'!AI$18</f>
        <v>1.94</v>
      </c>
      <c r="AP50" s="42">
        <f>'Th9-12'!AJ$11</f>
        <v>7</v>
      </c>
      <c r="AQ50" s="41">
        <f>'Th9-12'!AK$11</f>
        <v>46</v>
      </c>
      <c r="AR50" s="41">
        <f>'Th9-12'!AL$11</f>
        <v>92.85</v>
      </c>
      <c r="AS50" s="45">
        <f>'Th9-12'!AM$11</f>
        <v>0.65</v>
      </c>
      <c r="AT50" s="43">
        <f>'Th9-12'!AJ$10</f>
        <v>18</v>
      </c>
      <c r="AU50" s="41">
        <f>'Th9-12'!AK$10</f>
        <v>49.611111000000001</v>
      </c>
      <c r="AV50" s="41">
        <f>'Th9-12'!AL$10</f>
        <v>60.555555560000002</v>
      </c>
      <c r="AW50" s="45">
        <f>'Th9-12'!AM$10</f>
        <v>1.0900000000000001</v>
      </c>
      <c r="AX50" s="43">
        <f>'Th9-12'!AJ$17</f>
        <v>8</v>
      </c>
      <c r="AY50" s="41">
        <f>'Th9-12'!AK$17</f>
        <v>75</v>
      </c>
      <c r="AZ50" s="41">
        <f>'Th9-12'!AL$17</f>
        <v>190</v>
      </c>
      <c r="BA50" s="45">
        <f>'Th9-12'!AM$17</f>
        <v>1.52</v>
      </c>
      <c r="BB50" s="43">
        <f>'Th9-12'!AJ$16</f>
        <v>14</v>
      </c>
      <c r="BC50" s="41">
        <f>'Th9-12'!AK$16</f>
        <v>75.642857000000006</v>
      </c>
      <c r="BD50" s="41">
        <f>'Th9-12'!AL$16</f>
        <v>161.42857140000001</v>
      </c>
      <c r="BE50" s="45">
        <f>'Th9-12'!AM$16</f>
        <v>2.2599999999999998</v>
      </c>
      <c r="BF50" s="43">
        <f>'Th9-12'!AJ$15</f>
        <v>26</v>
      </c>
      <c r="BG50" s="41">
        <f>'Th9-12'!AK$15</f>
        <v>54.423076000000002</v>
      </c>
      <c r="BH50" s="41">
        <f>'Th9-12'!AL$15</f>
        <v>93.076922999999994</v>
      </c>
      <c r="BI50" s="44">
        <f>'Th9-12'!AM$15</f>
        <v>2.42</v>
      </c>
    </row>
    <row r="51" spans="1:61">
      <c r="A51" s="53" t="s">
        <v>83</v>
      </c>
      <c r="B51" s="35">
        <f>'Th2-5'!V$4</f>
        <v>10</v>
      </c>
      <c r="C51" s="36">
        <f>'Th2-5'!W$4</f>
        <v>308.5</v>
      </c>
      <c r="D51" s="36">
        <f>'Th2-5'!X$4</f>
        <v>760</v>
      </c>
      <c r="E51" s="51">
        <f>'Th2-5'!Y$4</f>
        <v>7.6</v>
      </c>
      <c r="F51" s="37">
        <f>'Th2-5'!V$5</f>
        <v>19</v>
      </c>
      <c r="G51" s="36">
        <f>'Th2-5'!W$5</f>
        <v>252.35</v>
      </c>
      <c r="H51" s="36">
        <f>'Th2-5'!X$5</f>
        <v>431.57</v>
      </c>
      <c r="I51" s="51">
        <f>'Th2-5'!Y$5</f>
        <v>8.1999999999999993</v>
      </c>
      <c r="J51" s="37">
        <f>'Th2-5'!V$10</f>
        <v>8</v>
      </c>
      <c r="K51" s="36">
        <f>'Th2-5'!W$10</f>
        <v>305</v>
      </c>
      <c r="L51" s="36">
        <f>'Th2-5'!X$10</f>
        <v>656.25</v>
      </c>
      <c r="M51" s="51">
        <f>'Th2-5'!Y$10</f>
        <v>5.25</v>
      </c>
      <c r="N51" s="37">
        <f>'Th2-5'!V$11</f>
        <v>18</v>
      </c>
      <c r="O51" s="36">
        <f>'Th2-5'!W$11</f>
        <v>252.9</v>
      </c>
      <c r="P51" s="36">
        <f>'Th2-5'!X$11</f>
        <v>414.4</v>
      </c>
      <c r="Q51" s="51">
        <f>'Th2-5'!Y$11</f>
        <v>7.46</v>
      </c>
      <c r="R51" s="36">
        <f>'Th2-5'!V$12</f>
        <v>30</v>
      </c>
      <c r="S51" s="36">
        <f>'Th2-5'!W$12</f>
        <v>250.56</v>
      </c>
      <c r="T51" s="36">
        <f>'Th2-5'!X$12</f>
        <v>366</v>
      </c>
      <c r="U51" s="50">
        <f>'Th2-5'!Y$12</f>
        <v>10.98</v>
      </c>
      <c r="V51" s="39">
        <f>'Th2-5'!Z$5</f>
        <v>8</v>
      </c>
      <c r="W51" s="38">
        <f>'Th2-5'!AA$5</f>
        <v>48.25</v>
      </c>
      <c r="X51" s="38">
        <f>'Th2-5'!AB$5</f>
        <v>75</v>
      </c>
      <c r="Y51" s="48">
        <f>'Th2-5'!AC$5</f>
        <v>0.6</v>
      </c>
      <c r="Z51" s="40">
        <f>'Th2-5'!Z$4</f>
        <v>20</v>
      </c>
      <c r="AA51" s="38">
        <f>'Th2-5'!AA$4</f>
        <v>34.130000000000003</v>
      </c>
      <c r="AB51" s="38">
        <f>'Th2-5'!AB$4</f>
        <v>77.5</v>
      </c>
      <c r="AC51" s="48">
        <f>'Th2-5'!AC$4</f>
        <v>1.55</v>
      </c>
      <c r="AD51" s="40">
        <f>'Th2-5'!V$16</f>
        <v>4</v>
      </c>
      <c r="AE51" s="38">
        <f>'Th2-5'!W$16</f>
        <v>66.75</v>
      </c>
      <c r="AF51" s="38">
        <f>'Th2-5'!X$16</f>
        <v>120</v>
      </c>
      <c r="AG51" s="48">
        <f>'Th2-5'!Y$16</f>
        <v>0.48</v>
      </c>
      <c r="AH51" s="40">
        <f>'Th2-5'!V$17</f>
        <v>20</v>
      </c>
      <c r="AI51" s="38">
        <f>'Th2-5'!W$17</f>
        <v>54.45</v>
      </c>
      <c r="AJ51" s="38">
        <f>'Th2-5'!X$17</f>
        <v>137.5</v>
      </c>
      <c r="AK51" s="48">
        <f>'Th2-5'!Y$17</f>
        <v>2.75</v>
      </c>
      <c r="AL51" s="91">
        <f>'Th2-5'!V$18</f>
        <v>33</v>
      </c>
      <c r="AM51" s="38">
        <f>'Th2-5'!W$18</f>
        <v>58.9</v>
      </c>
      <c r="AN51" s="38">
        <f>'Th2-5'!X$18</f>
        <v>131</v>
      </c>
      <c r="AO51" s="47">
        <f>'Th2-5'!Y$18</f>
        <v>4.33</v>
      </c>
      <c r="AP51" s="42">
        <f>'Th2-5'!Z$11</f>
        <v>7</v>
      </c>
      <c r="AQ51" s="41">
        <f>'Th2-5'!AA$11</f>
        <v>40.29</v>
      </c>
      <c r="AR51" s="41">
        <f>'Th2-5'!AB$11</f>
        <v>52.86</v>
      </c>
      <c r="AS51" s="45">
        <f>'Th2-5'!AC$11</f>
        <v>0.37</v>
      </c>
      <c r="AT51" s="43">
        <f>'Th2-5'!Z$10</f>
        <v>11</v>
      </c>
      <c r="AU51" s="41">
        <f>'Th2-5'!AA$10</f>
        <v>55.36</v>
      </c>
      <c r="AV51" s="41">
        <f>'Th2-5'!AB$10</f>
        <v>168.18</v>
      </c>
      <c r="AW51" s="45">
        <f>'Th2-5'!AC$10</f>
        <v>1.85</v>
      </c>
      <c r="AX51" s="43">
        <f>'Th2-5'!Z$17</f>
        <v>10</v>
      </c>
      <c r="AY51" s="41">
        <f>'Th2-5'!AA$17</f>
        <v>88.4</v>
      </c>
      <c r="AZ51" s="41">
        <f>'Th2-5'!AB$17</f>
        <v>222</v>
      </c>
      <c r="BA51" s="45">
        <f>'Th2-5'!AC$17</f>
        <v>2.2200000000000002</v>
      </c>
      <c r="BB51" s="43">
        <f>'Th2-5'!Z$16</f>
        <v>17</v>
      </c>
      <c r="BC51" s="41">
        <f>'Th2-5'!AA$16</f>
        <v>86.24</v>
      </c>
      <c r="BD51" s="41">
        <f>'Th2-5'!AB$16</f>
        <v>148.82</v>
      </c>
      <c r="BE51" s="45">
        <f>'Th2-5'!AC$16</f>
        <v>2.5299999999999998</v>
      </c>
      <c r="BF51" s="43">
        <f>'Th2-5'!Z$15</f>
        <v>26</v>
      </c>
      <c r="BG51" s="41">
        <f>'Th2-5'!AA$15</f>
        <v>65.73</v>
      </c>
      <c r="BH51" s="41">
        <f>'Th2-5'!AB$15</f>
        <v>130.38</v>
      </c>
      <c r="BI51" s="44">
        <f>'Th2-5'!AC$15</f>
        <v>3.39</v>
      </c>
    </row>
    <row r="52" spans="1:61">
      <c r="A52" s="53" t="s">
        <v>84</v>
      </c>
      <c r="B52" s="35">
        <f>'Th2-5'!AF$4</f>
        <v>9</v>
      </c>
      <c r="C52" s="36">
        <f>'Th2-5'!AG$4</f>
        <v>292</v>
      </c>
      <c r="D52" s="36">
        <f>'Th2-5'!AH$4</f>
        <v>658.8</v>
      </c>
      <c r="E52" s="51">
        <f>'Th2-5'!AI$4</f>
        <v>5.93</v>
      </c>
      <c r="F52" s="37">
        <f>'Th2-5'!AF$5</f>
        <v>20</v>
      </c>
      <c r="G52" s="36">
        <f>'Th2-5'!AG$5</f>
        <v>280.5</v>
      </c>
      <c r="H52" s="36">
        <f>'Th2-5'!AH$5</f>
        <v>498</v>
      </c>
      <c r="I52" s="51">
        <f>'Th2-5'!AI$5</f>
        <v>9.9600000000000009</v>
      </c>
      <c r="J52" s="37">
        <f>'Th2-5'!AF$10</f>
        <v>10</v>
      </c>
      <c r="K52" s="36">
        <f>'Th2-5'!AG$10</f>
        <v>314.2</v>
      </c>
      <c r="L52" s="36">
        <f>'Th2-5'!AH$10</f>
        <v>564</v>
      </c>
      <c r="M52" s="51">
        <f>'Th2-5'!AI$10</f>
        <v>5.64</v>
      </c>
      <c r="N52" s="37">
        <f>'Th2-5'!AF$11</f>
        <v>20</v>
      </c>
      <c r="O52" s="36">
        <f>'Th2-5'!AG$11</f>
        <v>219.55</v>
      </c>
      <c r="P52" s="36">
        <f>'Th2-5'!AH$11</f>
        <v>341</v>
      </c>
      <c r="Q52" s="51">
        <f>'Th2-5'!AI$11</f>
        <v>6.82</v>
      </c>
      <c r="R52" s="36">
        <f>'Th2-5'!AF$12</f>
        <v>26</v>
      </c>
      <c r="S52" s="36">
        <f>'Th2-5'!AG$12</f>
        <v>269.95999999999998</v>
      </c>
      <c r="T52" s="36">
        <f>'Th2-5'!AH$12</f>
        <v>379.61</v>
      </c>
      <c r="U52" s="50">
        <f>'Th2-5'!AI$12</f>
        <v>9.8699999999999992</v>
      </c>
      <c r="V52" s="39">
        <f>'Th2-5'!AJ$5</f>
        <v>6</v>
      </c>
      <c r="W52" s="38">
        <f>'Th2-5'!AK$5</f>
        <v>38.5</v>
      </c>
      <c r="X52" s="38">
        <f>'Th2-5'!AL$5</f>
        <v>50</v>
      </c>
      <c r="Y52" s="48">
        <f>'Th2-5'!AM$5</f>
        <v>0.3</v>
      </c>
      <c r="Z52" s="40">
        <f>'Th2-5'!AJ$4</f>
        <v>16</v>
      </c>
      <c r="AA52" s="38">
        <f>'Th2-5'!AK$4</f>
        <v>37.5</v>
      </c>
      <c r="AB52" s="38">
        <f>'Th2-5'!AL$4</f>
        <v>67.5</v>
      </c>
      <c r="AC52" s="48">
        <f>'Th2-5'!AM$4</f>
        <v>1.08</v>
      </c>
      <c r="AD52" s="90">
        <f>'Th2-5'!AF$16</f>
        <v>11</v>
      </c>
      <c r="AE52" s="38">
        <f>'Th2-5'!AG$16</f>
        <v>60.36</v>
      </c>
      <c r="AF52" s="38">
        <f>'Th2-5'!AH$16</f>
        <v>111.82</v>
      </c>
      <c r="AG52" s="48">
        <f>'Th2-5'!AI$16</f>
        <v>1.23</v>
      </c>
      <c r="AH52" s="40">
        <f>'Th2-5'!AF$17</f>
        <v>13</v>
      </c>
      <c r="AI52" s="38">
        <f>'Th2-5'!AG$17</f>
        <v>54.92</v>
      </c>
      <c r="AJ52" s="38">
        <f>'Th2-5'!AH$17</f>
        <v>80.769000000000005</v>
      </c>
      <c r="AK52" s="48">
        <f>'Th2-5'!AI$17</f>
        <v>1.05</v>
      </c>
      <c r="AL52" s="38">
        <f>'Th2-5'!AF$18</f>
        <v>30</v>
      </c>
      <c r="AM52" s="38">
        <f>'Th2-5'!AG$18</f>
        <v>55.37</v>
      </c>
      <c r="AN52" s="38">
        <f>'Th2-5'!AH$18</f>
        <v>159.30000000000001</v>
      </c>
      <c r="AO52" s="47">
        <f>'Th2-5'!AI$18</f>
        <v>4.78</v>
      </c>
      <c r="AP52" s="42">
        <f>'Th2-5'!AJ$11</f>
        <v>9</v>
      </c>
      <c r="AQ52" s="41">
        <f>'Th2-5'!AK$11</f>
        <v>47.11</v>
      </c>
      <c r="AR52" s="41">
        <f>'Th2-5'!AL$11</f>
        <v>90</v>
      </c>
      <c r="AS52" s="45">
        <f>'Th2-5'!AM$11</f>
        <v>0.81</v>
      </c>
      <c r="AT52" s="43">
        <f>'Th2-5'!AJ$10</f>
        <v>15</v>
      </c>
      <c r="AU52" s="41">
        <f>'Th2-5'!AK$10</f>
        <v>43.6</v>
      </c>
      <c r="AV52" s="41">
        <f>'Th2-5'!AL$10</f>
        <v>71.33</v>
      </c>
      <c r="AW52" s="45">
        <f>'Th2-5'!AM$10</f>
        <v>1.07</v>
      </c>
      <c r="AX52" s="43">
        <f>'Th2-5'!AJ$17</f>
        <v>8</v>
      </c>
      <c r="AY52" s="41">
        <f>'Th2-5'!AK$17</f>
        <v>62.125</v>
      </c>
      <c r="AZ52" s="41">
        <f>'Th2-5'!AL$17</f>
        <v>103.75</v>
      </c>
      <c r="BA52" s="45">
        <f>'Th2-5'!AM$17</f>
        <v>0.83</v>
      </c>
      <c r="BB52" s="43">
        <f>'Th2-5'!AJ$16</f>
        <v>13</v>
      </c>
      <c r="BC52" s="41">
        <f>'Th2-5'!AK$16</f>
        <v>61.85</v>
      </c>
      <c r="BD52" s="41">
        <f>'Th2-5'!AL$16</f>
        <v>140</v>
      </c>
      <c r="BE52" s="45">
        <f>'Th2-5'!AM$16</f>
        <v>1.82</v>
      </c>
      <c r="BF52" s="43">
        <f>'Th2-5'!AJ$15</f>
        <v>22</v>
      </c>
      <c r="BG52" s="41">
        <f>'Th2-5'!AK$15</f>
        <v>58.23</v>
      </c>
      <c r="BH52" s="41">
        <f>'Th2-5'!AL$15</f>
        <v>119.54</v>
      </c>
      <c r="BI52" s="44">
        <f>'Th2-5'!AM$15</f>
        <v>2.63</v>
      </c>
    </row>
    <row r="53" spans="1:61">
      <c r="A53" s="53" t="s">
        <v>87</v>
      </c>
      <c r="B53" s="35">
        <f>'Th7-10'!V$4</f>
        <v>10</v>
      </c>
      <c r="C53" s="36">
        <f>'Th7-10'!W$4</f>
        <v>290.5</v>
      </c>
      <c r="D53" s="36">
        <f>'Th7-10'!X$4</f>
        <v>659</v>
      </c>
      <c r="E53" s="51">
        <f>'Th7-10'!Y$4</f>
        <v>6.59</v>
      </c>
      <c r="F53" s="37">
        <f>'Th7-10'!V$5</f>
        <v>20</v>
      </c>
      <c r="G53" s="36">
        <f>'Th7-10'!W$5</f>
        <v>263.8</v>
      </c>
      <c r="H53" s="36">
        <f>'Th7-10'!X$5</f>
        <v>414.5</v>
      </c>
      <c r="I53" s="51">
        <f>'Th7-10'!Y$5</f>
        <v>8.2899999999999991</v>
      </c>
      <c r="J53" s="37">
        <f>'Th7-10'!V$10</f>
        <v>10</v>
      </c>
      <c r="K53" s="36">
        <f>'Th7-10'!W$10</f>
        <v>262.8</v>
      </c>
      <c r="L53" s="36">
        <f>'Th7-10'!X$10</f>
        <v>499</v>
      </c>
      <c r="M53" s="51">
        <f>'Th7-10'!Y$10</f>
        <v>4.99</v>
      </c>
      <c r="N53" s="37">
        <f>'Th7-10'!V$11</f>
        <v>20</v>
      </c>
      <c r="O53" s="36">
        <f>'Th7-10'!W$11</f>
        <v>234.35</v>
      </c>
      <c r="P53" s="36">
        <f>'Th7-10'!X$11</f>
        <v>402</v>
      </c>
      <c r="Q53" s="51">
        <f>'Th7-10'!Y$11</f>
        <v>8.0399999999999991</v>
      </c>
      <c r="R53" s="36">
        <f>'Th7-10'!V$12</f>
        <v>30</v>
      </c>
      <c r="S53" s="36">
        <f>'Th7-10'!W$12</f>
        <v>271.3</v>
      </c>
      <c r="T53" s="36">
        <f>'Th7-10'!X$12</f>
        <v>347.33</v>
      </c>
      <c r="U53" s="50">
        <f>'Th7-10'!Y$12</f>
        <v>10.42</v>
      </c>
      <c r="V53" s="39">
        <f>'Th7-10'!Z$5</f>
        <v>9</v>
      </c>
      <c r="W53" s="38">
        <f>'Th7-10'!AA$5</f>
        <v>44</v>
      </c>
      <c r="X53" s="38">
        <f>'Th7-10'!AB$5</f>
        <v>32.22</v>
      </c>
      <c r="Y53" s="48">
        <f>'Th7-10'!AC$5</f>
        <v>0.28999999999999998</v>
      </c>
      <c r="Z53" s="40">
        <f>'Th7-10'!Z$4</f>
        <v>20</v>
      </c>
      <c r="AA53" s="38">
        <f>'Th7-10'!AA$4</f>
        <v>49</v>
      </c>
      <c r="AB53" s="38">
        <f>'Th7-10'!AB$4</f>
        <v>64.5</v>
      </c>
      <c r="AC53" s="48">
        <f>'Th7-10'!AC$4</f>
        <v>1.29</v>
      </c>
      <c r="AD53" s="40">
        <f>'Th7-10'!V$16</f>
        <v>7</v>
      </c>
      <c r="AE53" s="38">
        <f>'Th7-10'!W$16</f>
        <v>33.57</v>
      </c>
      <c r="AF53" s="38">
        <f>'Th7-10'!X$16</f>
        <v>81.430000000000007</v>
      </c>
      <c r="AG53" s="48">
        <f>'Th7-10'!Y$16</f>
        <v>0.56999999999999995</v>
      </c>
      <c r="AH53" s="40">
        <f>'Th7-10'!V$17</f>
        <v>17</v>
      </c>
      <c r="AI53" s="38">
        <f>'Th7-10'!W$17</f>
        <v>60.35</v>
      </c>
      <c r="AJ53" s="38">
        <f>'Th7-10'!X$17</f>
        <v>83.52</v>
      </c>
      <c r="AK53" s="48">
        <f>'Th7-10'!Y$17</f>
        <v>1.42</v>
      </c>
      <c r="AL53" s="38">
        <f>'Th7-10'!V$18</f>
        <v>25</v>
      </c>
      <c r="AM53" s="38">
        <f>'Th7-10'!W$18</f>
        <v>52.28</v>
      </c>
      <c r="AN53" s="38">
        <f>'Th7-10'!X$18</f>
        <v>98.4</v>
      </c>
      <c r="AO53" s="47">
        <f>'Th7-10'!Y$18</f>
        <v>2.46</v>
      </c>
      <c r="AP53" s="42">
        <f>'Th7-10'!Z$11</f>
        <v>8</v>
      </c>
      <c r="AQ53" s="41">
        <f>'Th7-10'!AA$11</f>
        <v>47</v>
      </c>
      <c r="AR53" s="41">
        <f>'Th7-10'!AB$11</f>
        <v>10</v>
      </c>
      <c r="AS53" s="45">
        <f>'Th7-10'!AC$11</f>
        <v>0.08</v>
      </c>
      <c r="AT53" s="43">
        <f>'Th7-10'!Z$10</f>
        <v>10</v>
      </c>
      <c r="AU53" s="41">
        <f>'Th7-10'!AA$10</f>
        <v>69.8</v>
      </c>
      <c r="AV53" s="41">
        <f>'Th7-10'!AB$10</f>
        <v>187.9</v>
      </c>
      <c r="AW53" s="45">
        <f>'Th7-10'!AC$10</f>
        <v>1.879</v>
      </c>
      <c r="AX53" s="43">
        <f>'Th7-10'!Z$17</f>
        <v>5</v>
      </c>
      <c r="AY53" s="41">
        <f>'Th7-10'!AA$17</f>
        <v>79</v>
      </c>
      <c r="AZ53" s="41">
        <f>'Th7-10'!AB$17</f>
        <v>308</v>
      </c>
      <c r="BA53" s="45">
        <f>'Th7-10'!AC$17</f>
        <v>1.54</v>
      </c>
      <c r="BB53" s="43">
        <f>'Th7-10'!Z$16</f>
        <v>13</v>
      </c>
      <c r="BC53" s="41">
        <f>'Th7-10'!AA$16</f>
        <v>49.61</v>
      </c>
      <c r="BD53" s="41">
        <f>'Th7-10'!AB$16</f>
        <v>153.84</v>
      </c>
      <c r="BE53" s="45">
        <f>'Th7-10'!AC$16</f>
        <v>2</v>
      </c>
      <c r="BF53" s="43">
        <f>'Th7-10'!Z$15</f>
        <v>23</v>
      </c>
      <c r="BG53" s="41">
        <f>'Th7-10'!AA$15</f>
        <v>57.39</v>
      </c>
      <c r="BH53" s="41">
        <f>'Th7-10'!AB$15</f>
        <v>133.74</v>
      </c>
      <c r="BI53" s="44">
        <f>'Th7-10'!AC$15</f>
        <v>3.08</v>
      </c>
    </row>
    <row r="54" spans="1:61">
      <c r="A54" s="53" t="s">
        <v>88</v>
      </c>
      <c r="B54" s="35">
        <f>'Th7-10'!AF$4</f>
        <v>10</v>
      </c>
      <c r="C54" s="36">
        <f>'Th7-10'!AG$4</f>
        <v>276.10000000000002</v>
      </c>
      <c r="D54" s="36">
        <f>'Th7-10'!AH$4</f>
        <v>485</v>
      </c>
      <c r="E54" s="51">
        <f>'Th7-10'!AI$4</f>
        <v>4.8499999999999996</v>
      </c>
      <c r="F54" s="37">
        <f>'Th7-10'!AF$5</f>
        <v>20</v>
      </c>
      <c r="G54" s="36">
        <f>'Th7-10'!AG$5</f>
        <v>582.29999999999995</v>
      </c>
      <c r="H54" s="36">
        <f>'Th7-10'!AH$5</f>
        <v>479</v>
      </c>
      <c r="I54" s="51">
        <f>'Th7-10'!AI$5</f>
        <v>9.58</v>
      </c>
      <c r="J54" s="37">
        <f>'Th7-10'!AF$10</f>
        <v>9</v>
      </c>
      <c r="K54" s="36">
        <f>'Th7-10'!AG$10</f>
        <v>343</v>
      </c>
      <c r="L54" s="36">
        <f>'Th7-10'!AH$10</f>
        <v>636.6</v>
      </c>
      <c r="M54" s="51">
        <f>'Th7-10'!AI$10</f>
        <v>5.73</v>
      </c>
      <c r="N54" s="37">
        <f>'Th7-10'!AF$11</f>
        <v>18</v>
      </c>
      <c r="O54" s="36">
        <f>'Th7-10'!AG$11</f>
        <v>260.89999999999998</v>
      </c>
      <c r="P54" s="36">
        <f>'Th7-10'!AH$11</f>
        <v>521.11</v>
      </c>
      <c r="Q54" s="51">
        <f>'Th7-10'!AI$11</f>
        <v>9.3800000000000008</v>
      </c>
      <c r="R54" s="36">
        <f>'Th7-10'!AF$12</f>
        <v>28</v>
      </c>
      <c r="S54" s="36">
        <f>'Th7-10'!AG$12</f>
        <v>343.16</v>
      </c>
      <c r="T54" s="36">
        <f>'Th7-10'!AH$12</f>
        <v>311</v>
      </c>
      <c r="U54" s="50">
        <f>'Th7-10'!AI$12</f>
        <v>8.7100000000000009</v>
      </c>
      <c r="V54" s="39">
        <f>'Th7-10'!AJ$5</f>
        <v>7</v>
      </c>
      <c r="W54" s="38">
        <f>'Th7-10'!AK$5</f>
        <v>34.9</v>
      </c>
      <c r="X54" s="38">
        <f>'Th7-10'!AL$5</f>
        <v>42.8</v>
      </c>
      <c r="Y54" s="48">
        <f>'Th7-10'!AM$5</f>
        <v>0.3</v>
      </c>
      <c r="Z54" s="40">
        <f>'Th7-10'!AJ$4</f>
        <v>14</v>
      </c>
      <c r="AA54" s="108">
        <f>'Th7-10'!AK$4</f>
        <v>160.75</v>
      </c>
      <c r="AB54" s="38">
        <f>'Th7-10'!AL$4</f>
        <v>75.7</v>
      </c>
      <c r="AC54" s="48">
        <f>'Th7-10'!AM$4</f>
        <v>1.06</v>
      </c>
      <c r="AD54" s="40">
        <f>'Th7-10'!AF$16</f>
        <v>4</v>
      </c>
      <c r="AE54" s="38">
        <f>'Th7-10'!AG$16</f>
        <v>36.799999999999997</v>
      </c>
      <c r="AF54" s="38">
        <f>'Th7-10'!AH$16</f>
        <v>60</v>
      </c>
      <c r="AG54" s="48">
        <f>'Th7-10'!AI$16</f>
        <v>0.24</v>
      </c>
      <c r="AH54" s="40">
        <f>'Th7-10'!AF$17</f>
        <v>20</v>
      </c>
      <c r="AI54" s="38">
        <f>'Th7-10'!AG$17</f>
        <v>98</v>
      </c>
      <c r="AJ54" s="38">
        <f>'Th7-10'!AH$17</f>
        <v>101</v>
      </c>
      <c r="AK54" s="48">
        <f>'Th7-10'!AI$17</f>
        <v>2.02</v>
      </c>
      <c r="AL54" s="38">
        <f>'Th7-10'!AF$18</f>
        <v>28</v>
      </c>
      <c r="AM54" s="108">
        <f>'Th7-10'!AG$18</f>
        <v>99.8</v>
      </c>
      <c r="AN54" s="38">
        <f>'Th7-10'!AH$18</f>
        <v>111.1</v>
      </c>
      <c r="AO54" s="47">
        <f>'Th7-10'!AI$18</f>
        <v>3.11</v>
      </c>
      <c r="AP54" s="42">
        <f>'Th7-10'!AJ$11</f>
        <v>4</v>
      </c>
      <c r="AQ54" s="41">
        <f>'Th7-10'!AK$11</f>
        <v>65</v>
      </c>
      <c r="AR54" s="41">
        <f>'Th7-10'!AL$11</f>
        <v>147.5</v>
      </c>
      <c r="AS54" s="45">
        <f>'Th7-10'!AM$11</f>
        <v>0.59</v>
      </c>
      <c r="AT54" s="43">
        <f>'Th7-10'!AJ$10</f>
        <v>6</v>
      </c>
      <c r="AU54" s="41">
        <f>'Th7-10'!AK$10</f>
        <v>52.5</v>
      </c>
      <c r="AV54" s="41">
        <f>'Th7-10'!AL$10</f>
        <v>110</v>
      </c>
      <c r="AW54" s="45">
        <f>'Th7-10'!AM$10</f>
        <v>0.66</v>
      </c>
      <c r="AX54" s="43">
        <f>'Th7-10'!AJ$17</f>
        <v>10</v>
      </c>
      <c r="AY54" s="41">
        <f>'Th7-10'!AK$17</f>
        <v>68.099999999999994</v>
      </c>
      <c r="AZ54" s="41">
        <f>'Th7-10'!AL$17</f>
        <v>160</v>
      </c>
      <c r="BA54" s="45">
        <f>'Th7-10'!AM$17</f>
        <v>1.6</v>
      </c>
      <c r="BB54" s="43">
        <f>'Th7-10'!AJ$16</f>
        <v>12</v>
      </c>
      <c r="BC54" s="108">
        <f>'Th7-10'!AK$16</f>
        <v>364</v>
      </c>
      <c r="BD54" s="41">
        <f>'Th7-10'!AL$16</f>
        <v>139.1</v>
      </c>
      <c r="BE54" s="45">
        <f>'Th7-10'!AM$16</f>
        <v>1.67</v>
      </c>
      <c r="BF54" s="43">
        <f>'Th7-10'!AJ$15</f>
        <v>15</v>
      </c>
      <c r="BG54" s="108">
        <f>'Th7-10'!AK$15</f>
        <v>176</v>
      </c>
      <c r="BH54" s="41">
        <f>'Th7-10'!AL$15</f>
        <v>116</v>
      </c>
      <c r="BI54" s="44">
        <f>'Th7-10'!AM$15</f>
        <v>1.74</v>
      </c>
    </row>
    <row r="55" spans="1:61">
      <c r="B55" s="79"/>
      <c r="C55" s="80"/>
      <c r="D55" s="80"/>
      <c r="E55" s="81"/>
      <c r="F55" s="80"/>
      <c r="G55" s="80"/>
      <c r="H55" s="80"/>
      <c r="I55" s="81"/>
      <c r="J55" s="80"/>
      <c r="K55" s="80"/>
      <c r="L55" s="80"/>
      <c r="M55" s="81"/>
      <c r="N55" s="80"/>
      <c r="O55" s="80"/>
      <c r="P55" s="80"/>
      <c r="Q55" s="81"/>
      <c r="R55" s="80"/>
      <c r="S55" s="80"/>
      <c r="T55" s="80"/>
      <c r="U55" s="82"/>
      <c r="V55" s="79"/>
      <c r="W55" s="80"/>
      <c r="X55" s="80"/>
      <c r="Y55" s="81"/>
      <c r="Z55" s="80"/>
      <c r="AA55" s="80"/>
      <c r="AB55" s="80"/>
      <c r="AC55" s="81"/>
      <c r="AD55" s="80"/>
      <c r="AE55" s="80"/>
      <c r="AF55" s="80"/>
      <c r="AG55" s="81"/>
      <c r="AH55" s="80"/>
      <c r="AI55" s="80"/>
      <c r="AJ55" s="80"/>
      <c r="AK55" s="81"/>
      <c r="AL55" s="80"/>
      <c r="AM55" s="80"/>
      <c r="AN55" s="80"/>
      <c r="AO55" s="82"/>
      <c r="AP55" s="79"/>
      <c r="AQ55" s="80"/>
      <c r="AR55" s="80"/>
      <c r="AS55" s="81"/>
      <c r="AT55" s="80"/>
      <c r="AU55" s="80"/>
      <c r="AV55" s="80"/>
      <c r="AW55" s="81"/>
      <c r="AX55" s="80"/>
      <c r="AY55" s="80"/>
      <c r="AZ55" s="80"/>
      <c r="BA55" s="81"/>
      <c r="BB55" s="80"/>
      <c r="BC55" s="80"/>
      <c r="BD55" s="80"/>
      <c r="BE55" s="81"/>
      <c r="BF55" s="80"/>
      <c r="BG55" s="80"/>
      <c r="BH55" s="80"/>
      <c r="BI55" s="82"/>
    </row>
    <row r="56" spans="1:61">
      <c r="A56" s="107" t="s">
        <v>89</v>
      </c>
      <c r="B56" s="79">
        <f>COUNT(B33:B54)</f>
        <v>22</v>
      </c>
      <c r="C56" s="80">
        <f t="shared" ref="C56:BI56" si="4">COUNT(C33:C54)</f>
        <v>22</v>
      </c>
      <c r="D56" s="80">
        <f t="shared" si="4"/>
        <v>22</v>
      </c>
      <c r="E56" s="85">
        <f t="shared" si="4"/>
        <v>22</v>
      </c>
      <c r="F56" s="86">
        <f t="shared" si="4"/>
        <v>22</v>
      </c>
      <c r="G56" s="80">
        <f t="shared" si="4"/>
        <v>22</v>
      </c>
      <c r="H56" s="80">
        <f t="shared" si="4"/>
        <v>22</v>
      </c>
      <c r="I56" s="85">
        <f t="shared" si="4"/>
        <v>22</v>
      </c>
      <c r="J56" s="86">
        <f t="shared" si="4"/>
        <v>21</v>
      </c>
      <c r="K56" s="80">
        <f t="shared" si="4"/>
        <v>21</v>
      </c>
      <c r="L56" s="80">
        <f t="shared" si="4"/>
        <v>21</v>
      </c>
      <c r="M56" s="85">
        <f t="shared" si="4"/>
        <v>21</v>
      </c>
      <c r="N56" s="86">
        <f t="shared" si="4"/>
        <v>22</v>
      </c>
      <c r="O56" s="80">
        <f t="shared" si="4"/>
        <v>22</v>
      </c>
      <c r="P56" s="80">
        <f t="shared" si="4"/>
        <v>22</v>
      </c>
      <c r="Q56" s="85">
        <f t="shared" si="4"/>
        <v>22</v>
      </c>
      <c r="R56" s="86">
        <f t="shared" si="4"/>
        <v>22</v>
      </c>
      <c r="S56" s="80">
        <f t="shared" si="4"/>
        <v>22</v>
      </c>
      <c r="T56" s="80">
        <f t="shared" si="4"/>
        <v>22</v>
      </c>
      <c r="U56" s="88">
        <f t="shared" si="4"/>
        <v>22</v>
      </c>
      <c r="V56" s="79">
        <f t="shared" si="4"/>
        <v>22</v>
      </c>
      <c r="W56" s="80">
        <f t="shared" si="4"/>
        <v>22</v>
      </c>
      <c r="X56" s="80">
        <f t="shared" si="4"/>
        <v>22</v>
      </c>
      <c r="Y56" s="85">
        <f t="shared" si="4"/>
        <v>22</v>
      </c>
      <c r="Z56" s="86">
        <f t="shared" si="4"/>
        <v>22</v>
      </c>
      <c r="AA56" s="80">
        <f t="shared" si="4"/>
        <v>22</v>
      </c>
      <c r="AB56" s="80">
        <f t="shared" si="4"/>
        <v>22</v>
      </c>
      <c r="AC56" s="85">
        <f t="shared" si="4"/>
        <v>22</v>
      </c>
      <c r="AD56" s="86">
        <f t="shared" si="4"/>
        <v>22</v>
      </c>
      <c r="AE56" s="80">
        <f t="shared" si="4"/>
        <v>22</v>
      </c>
      <c r="AF56" s="80">
        <f t="shared" si="4"/>
        <v>22</v>
      </c>
      <c r="AG56" s="85">
        <f t="shared" si="4"/>
        <v>22</v>
      </c>
      <c r="AH56" s="86">
        <f t="shared" si="4"/>
        <v>21</v>
      </c>
      <c r="AI56" s="80">
        <f t="shared" si="4"/>
        <v>21</v>
      </c>
      <c r="AJ56" s="80">
        <f t="shared" si="4"/>
        <v>21</v>
      </c>
      <c r="AK56" s="85">
        <f t="shared" si="4"/>
        <v>21</v>
      </c>
      <c r="AL56" s="86">
        <f t="shared" si="4"/>
        <v>22</v>
      </c>
      <c r="AM56" s="80">
        <f t="shared" si="4"/>
        <v>22</v>
      </c>
      <c r="AN56" s="80">
        <f t="shared" si="4"/>
        <v>22</v>
      </c>
      <c r="AO56" s="88">
        <f t="shared" si="4"/>
        <v>22</v>
      </c>
      <c r="AP56" s="79">
        <f t="shared" si="4"/>
        <v>22</v>
      </c>
      <c r="AQ56" s="80">
        <f t="shared" si="4"/>
        <v>22</v>
      </c>
      <c r="AR56" s="80">
        <f t="shared" si="4"/>
        <v>22</v>
      </c>
      <c r="AS56" s="85">
        <f t="shared" si="4"/>
        <v>22</v>
      </c>
      <c r="AT56" s="86">
        <f t="shared" si="4"/>
        <v>21</v>
      </c>
      <c r="AU56" s="80">
        <f t="shared" si="4"/>
        <v>21</v>
      </c>
      <c r="AV56" s="80">
        <f t="shared" si="4"/>
        <v>21</v>
      </c>
      <c r="AW56" s="85">
        <f t="shared" si="4"/>
        <v>21</v>
      </c>
      <c r="AX56" s="86">
        <f t="shared" si="4"/>
        <v>21</v>
      </c>
      <c r="AY56" s="80">
        <f t="shared" si="4"/>
        <v>21</v>
      </c>
      <c r="AZ56" s="80">
        <f t="shared" si="4"/>
        <v>21</v>
      </c>
      <c r="BA56" s="85">
        <f t="shared" si="4"/>
        <v>21</v>
      </c>
      <c r="BB56" s="86">
        <f t="shared" si="4"/>
        <v>22</v>
      </c>
      <c r="BC56" s="80">
        <f t="shared" si="4"/>
        <v>22</v>
      </c>
      <c r="BD56" s="80">
        <f t="shared" si="4"/>
        <v>22</v>
      </c>
      <c r="BE56" s="85">
        <f t="shared" si="4"/>
        <v>22</v>
      </c>
      <c r="BF56" s="86">
        <f t="shared" si="4"/>
        <v>22</v>
      </c>
      <c r="BG56" s="80">
        <f t="shared" si="4"/>
        <v>22</v>
      </c>
      <c r="BH56" s="80">
        <f t="shared" si="4"/>
        <v>22</v>
      </c>
      <c r="BI56" s="88">
        <f t="shared" si="4"/>
        <v>22</v>
      </c>
    </row>
    <row r="57" spans="1:61">
      <c r="A57" s="107" t="s">
        <v>90</v>
      </c>
      <c r="B57" s="83">
        <f>AVERAGE(B33:B54)</f>
        <v>10.318181818181818</v>
      </c>
      <c r="C57" s="84">
        <f t="shared" ref="C57:BI57" si="5">AVERAGE(C33:C54)</f>
        <v>254.65777272727274</v>
      </c>
      <c r="D57" s="84">
        <f t="shared" si="5"/>
        <v>550.62850000000003</v>
      </c>
      <c r="E57" s="81">
        <f t="shared" si="5"/>
        <v>5.5781818181818181</v>
      </c>
      <c r="F57" s="87">
        <f t="shared" si="5"/>
        <v>20</v>
      </c>
      <c r="G57" s="84">
        <f t="shared" si="5"/>
        <v>256.9872727272728</v>
      </c>
      <c r="H57" s="84">
        <f t="shared" si="5"/>
        <v>421.01004781818176</v>
      </c>
      <c r="I57" s="81">
        <f t="shared" si="5"/>
        <v>8.36318181818182</v>
      </c>
      <c r="J57" s="87">
        <f t="shared" si="5"/>
        <v>9.8571428571428577</v>
      </c>
      <c r="K57" s="84">
        <f t="shared" si="5"/>
        <v>248.99252380952379</v>
      </c>
      <c r="L57" s="84">
        <f t="shared" si="5"/>
        <v>500.34349206349214</v>
      </c>
      <c r="M57" s="81">
        <f t="shared" si="5"/>
        <v>4.8100000000000005</v>
      </c>
      <c r="N57" s="87">
        <f t="shared" si="5"/>
        <v>19.454545454545453</v>
      </c>
      <c r="O57" s="84">
        <f t="shared" si="5"/>
        <v>245.7630681818182</v>
      </c>
      <c r="P57" s="84">
        <f t="shared" si="5"/>
        <v>386.81127272727275</v>
      </c>
      <c r="Q57" s="81">
        <f t="shared" si="5"/>
        <v>7.5031818181818162</v>
      </c>
      <c r="R57" s="87">
        <f t="shared" si="5"/>
        <v>29.59090909090909</v>
      </c>
      <c r="S57" s="84">
        <f t="shared" si="5"/>
        <v>240.55545454545455</v>
      </c>
      <c r="T57" s="84">
        <f t="shared" si="5"/>
        <v>351.98437878787877</v>
      </c>
      <c r="U57" s="82">
        <f t="shared" si="5"/>
        <v>10.334090909090907</v>
      </c>
      <c r="V57" s="83">
        <f t="shared" si="5"/>
        <v>7.8636363636363633</v>
      </c>
      <c r="W57" s="84">
        <f t="shared" si="5"/>
        <v>50.430175727272733</v>
      </c>
      <c r="X57" s="84">
        <f t="shared" si="5"/>
        <v>53.881461818181812</v>
      </c>
      <c r="Y57" s="81">
        <f t="shared" si="5"/>
        <v>0.42772727272727273</v>
      </c>
      <c r="Z57" s="87">
        <f t="shared" si="5"/>
        <v>16.59090909090909</v>
      </c>
      <c r="AA57" s="84">
        <f t="shared" si="5"/>
        <v>50.014122727272728</v>
      </c>
      <c r="AB57" s="84">
        <f t="shared" si="5"/>
        <v>65.494745558823524</v>
      </c>
      <c r="AC57" s="81">
        <f t="shared" si="5"/>
        <v>1.0799999999999998</v>
      </c>
      <c r="AD57" s="87">
        <f t="shared" si="5"/>
        <v>7.3181818181818183</v>
      </c>
      <c r="AE57" s="84">
        <f t="shared" si="5"/>
        <v>49.625642818181809</v>
      </c>
      <c r="AF57" s="84">
        <f t="shared" si="5"/>
        <v>88.088268398333327</v>
      </c>
      <c r="AG57" s="81">
        <f t="shared" si="5"/>
        <v>0.64681818181818196</v>
      </c>
      <c r="AH57" s="87">
        <f t="shared" si="5"/>
        <v>15.619047619047619</v>
      </c>
      <c r="AI57" s="84">
        <f t="shared" si="5"/>
        <v>52.018128571428576</v>
      </c>
      <c r="AJ57" s="84">
        <f t="shared" si="5"/>
        <v>86.895292448979575</v>
      </c>
      <c r="AK57" s="81">
        <f t="shared" si="5"/>
        <v>1.3766666666666667</v>
      </c>
      <c r="AL57" s="87">
        <f t="shared" si="5"/>
        <v>24.045454545454547</v>
      </c>
      <c r="AM57" s="84">
        <f t="shared" si="5"/>
        <v>54.713275636363619</v>
      </c>
      <c r="AN57" s="84">
        <f t="shared" si="5"/>
        <v>99.464263636363611</v>
      </c>
      <c r="AO57" s="82">
        <f t="shared" si="5"/>
        <v>2.4613636363636364</v>
      </c>
      <c r="AP57" s="83">
        <f t="shared" si="5"/>
        <v>7.6818181818181817</v>
      </c>
      <c r="AQ57" s="84">
        <f t="shared" si="5"/>
        <v>49.43204545454546</v>
      </c>
      <c r="AR57" s="84">
        <f t="shared" si="5"/>
        <v>93.359090909090895</v>
      </c>
      <c r="AS57" s="81">
        <f t="shared" si="5"/>
        <v>0.70418181818181813</v>
      </c>
      <c r="AT57" s="87">
        <f t="shared" si="5"/>
        <v>12.904761904761905</v>
      </c>
      <c r="AU57" s="84">
        <f t="shared" si="5"/>
        <v>62.495052904761891</v>
      </c>
      <c r="AV57" s="84">
        <f t="shared" si="5"/>
        <v>129.02354896606059</v>
      </c>
      <c r="AW57" s="81">
        <f t="shared" si="5"/>
        <v>1.5319047619047619</v>
      </c>
      <c r="AX57" s="87">
        <f t="shared" si="5"/>
        <v>7.666666666666667</v>
      </c>
      <c r="AY57" s="84">
        <f t="shared" si="5"/>
        <v>71.734285714285704</v>
      </c>
      <c r="AZ57" s="84">
        <f t="shared" si="5"/>
        <v>194.35238095238097</v>
      </c>
      <c r="BA57" s="81">
        <f t="shared" si="5"/>
        <v>1.4738095238095237</v>
      </c>
      <c r="BB57" s="87">
        <f t="shared" si="5"/>
        <v>13.545454545454545</v>
      </c>
      <c r="BC57" s="84">
        <f t="shared" si="5"/>
        <v>82.99558440909091</v>
      </c>
      <c r="BD57" s="84">
        <f t="shared" si="5"/>
        <v>160.89448051818184</v>
      </c>
      <c r="BE57" s="81">
        <f t="shared" si="5"/>
        <v>2.1462272727272733</v>
      </c>
      <c r="BF57" s="87">
        <f t="shared" si="5"/>
        <v>18.272727272727273</v>
      </c>
      <c r="BG57" s="84">
        <f t="shared" si="5"/>
        <v>72.842185272727264</v>
      </c>
      <c r="BH57" s="84">
        <f t="shared" si="5"/>
        <v>163.17783416233769</v>
      </c>
      <c r="BI57" s="82">
        <f t="shared" si="5"/>
        <v>2.6420954545454545</v>
      </c>
    </row>
    <row r="58" spans="1:61">
      <c r="A58" s="107" t="s">
        <v>91</v>
      </c>
      <c r="B58" s="83">
        <f>_xlfn.VAR.P(B33:B54)</f>
        <v>3.7623966942148761</v>
      </c>
      <c r="C58" s="80">
        <f t="shared" ref="C58:BI58" si="6">_xlfn.VAR.P(C33:C54)</f>
        <v>1224.1175550846999</v>
      </c>
      <c r="D58" s="80">
        <f t="shared" si="6"/>
        <v>17714.665276159001</v>
      </c>
      <c r="E58" s="81">
        <f t="shared" si="6"/>
        <v>1.486442148760327</v>
      </c>
      <c r="F58" s="87">
        <f t="shared" si="6"/>
        <v>7.4545454545454541</v>
      </c>
      <c r="G58" s="80">
        <f t="shared" si="6"/>
        <v>6201.704883471054</v>
      </c>
      <c r="H58" s="80">
        <f t="shared" si="6"/>
        <v>5041.278225077147</v>
      </c>
      <c r="I58" s="81">
        <f t="shared" si="6"/>
        <v>1.9806398760330231</v>
      </c>
      <c r="J58" s="87">
        <f t="shared" si="6"/>
        <v>5.074829931972789</v>
      </c>
      <c r="K58" s="80">
        <f t="shared" si="6"/>
        <v>4275.1381340589705</v>
      </c>
      <c r="L58" s="80">
        <f t="shared" si="6"/>
        <v>32066.193869286923</v>
      </c>
      <c r="M58" s="81">
        <f t="shared" si="6"/>
        <v>2.3973142857142804</v>
      </c>
      <c r="N58" s="87">
        <f t="shared" si="6"/>
        <v>1.1570247933884299</v>
      </c>
      <c r="O58" s="80">
        <f t="shared" si="6"/>
        <v>2879.8326954157978</v>
      </c>
      <c r="P58" s="80">
        <f t="shared" si="6"/>
        <v>7996.4140699256122</v>
      </c>
      <c r="Q58" s="81">
        <f t="shared" si="6"/>
        <v>2.9183216942149084</v>
      </c>
      <c r="R58" s="87">
        <f t="shared" si="6"/>
        <v>6.6053719008264489</v>
      </c>
      <c r="S58" s="80">
        <f t="shared" si="6"/>
        <v>1370.464361157022</v>
      </c>
      <c r="T58" s="80">
        <f t="shared" si="6"/>
        <v>7266.2225330737074</v>
      </c>
      <c r="U58" s="82">
        <f t="shared" si="6"/>
        <v>5.4588969008264856</v>
      </c>
      <c r="V58" s="83">
        <f t="shared" si="6"/>
        <v>4.6632231404958677</v>
      </c>
      <c r="W58" s="80">
        <f t="shared" si="6"/>
        <v>1040.8170739980083</v>
      </c>
      <c r="X58" s="80">
        <f t="shared" si="6"/>
        <v>173.81343759970608</v>
      </c>
      <c r="Y58" s="81">
        <f t="shared" si="6"/>
        <v>2.5044834710743782E-2</v>
      </c>
      <c r="Z58" s="87">
        <f t="shared" si="6"/>
        <v>7.5144628099173554</v>
      </c>
      <c r="AA58" s="80">
        <f t="shared" si="6"/>
        <v>645.67709055084742</v>
      </c>
      <c r="AB58" s="80">
        <f t="shared" si="6"/>
        <v>302.76415427390162</v>
      </c>
      <c r="AC58" s="81">
        <f t="shared" si="6"/>
        <v>9.2500000000000665E-2</v>
      </c>
      <c r="AD58" s="87">
        <f t="shared" si="6"/>
        <v>4.3987603305785123</v>
      </c>
      <c r="AE58" s="80">
        <f t="shared" si="6"/>
        <v>121.14971876443001</v>
      </c>
      <c r="AF58" s="80">
        <f t="shared" si="6"/>
        <v>2037.9674066881157</v>
      </c>
      <c r="AG58" s="81">
        <f t="shared" si="6"/>
        <v>0.15073078512396682</v>
      </c>
      <c r="AH58" s="87">
        <f t="shared" si="6"/>
        <v>7.9501133786848071</v>
      </c>
      <c r="AI58" s="80">
        <f t="shared" si="6"/>
        <v>182.34706894965905</v>
      </c>
      <c r="AJ58" s="80">
        <f t="shared" si="6"/>
        <v>929.35812232876094</v>
      </c>
      <c r="AK58" s="81">
        <f t="shared" si="6"/>
        <v>0.37222222222222218</v>
      </c>
      <c r="AL58" s="87">
        <f t="shared" si="6"/>
        <v>20.225206611570247</v>
      </c>
      <c r="AM58" s="80">
        <f t="shared" si="6"/>
        <v>239.3300469083089</v>
      </c>
      <c r="AN58" s="80">
        <f t="shared" si="6"/>
        <v>750.18267296868271</v>
      </c>
      <c r="AO58" s="82">
        <f t="shared" si="6"/>
        <v>0.98548450413223199</v>
      </c>
      <c r="AP58" s="83">
        <f t="shared" si="6"/>
        <v>4.035123966942149</v>
      </c>
      <c r="AQ58" s="80">
        <f t="shared" si="6"/>
        <v>187.95452422520611</v>
      </c>
      <c r="AR58" s="80">
        <f t="shared" si="6"/>
        <v>2450.4079355371937</v>
      </c>
      <c r="AS58" s="81">
        <f t="shared" si="6"/>
        <v>0.19826542148760343</v>
      </c>
      <c r="AT58" s="87">
        <f t="shared" si="6"/>
        <v>51.229024943310655</v>
      </c>
      <c r="AU58" s="80">
        <f t="shared" si="6"/>
        <v>1642.2782033669321</v>
      </c>
      <c r="AV58" s="80">
        <f t="shared" si="6"/>
        <v>5762.0193522484133</v>
      </c>
      <c r="AW58" s="81">
        <f t="shared" si="6"/>
        <v>0.82842408616779939</v>
      </c>
      <c r="AX58" s="87">
        <f t="shared" si="6"/>
        <v>4.1269841269841274</v>
      </c>
      <c r="AY58" s="80">
        <f t="shared" si="6"/>
        <v>326.02404591836915</v>
      </c>
      <c r="AZ58" s="80">
        <f t="shared" si="6"/>
        <v>4058.5541609977276</v>
      </c>
      <c r="BA58" s="81">
        <f t="shared" si="6"/>
        <v>0.29319501133786896</v>
      </c>
      <c r="BB58" s="87">
        <f t="shared" si="6"/>
        <v>7.884297520661157</v>
      </c>
      <c r="BC58" s="80">
        <f t="shared" si="6"/>
        <v>3986.0449965535768</v>
      </c>
      <c r="BD58" s="80">
        <f t="shared" si="6"/>
        <v>1701.7500644318975</v>
      </c>
      <c r="BE58" s="81">
        <f t="shared" si="6"/>
        <v>0.37492890289255898</v>
      </c>
      <c r="BF58" s="87">
        <f t="shared" si="6"/>
        <v>33.471074380165291</v>
      </c>
      <c r="BG58" s="80">
        <f t="shared" si="6"/>
        <v>825.98950498011868</v>
      </c>
      <c r="BH58" s="80">
        <f t="shared" si="6"/>
        <v>12013.154087324476</v>
      </c>
      <c r="BI58" s="82">
        <f t="shared" si="6"/>
        <v>2.7931377549793397</v>
      </c>
    </row>
    <row r="59" spans="1:61">
      <c r="A59" s="107" t="s">
        <v>92</v>
      </c>
      <c r="B59" s="83">
        <f>_xlfn.STDEV.P(B33:B54)</f>
        <v>1.9396898448501698</v>
      </c>
      <c r="C59" s="84">
        <f t="shared" ref="C59:BI59" si="7">_xlfn.STDEV.P(C33:C54)</f>
        <v>34.987391372960346</v>
      </c>
      <c r="D59" s="84">
        <f t="shared" si="7"/>
        <v>133.09645102766265</v>
      </c>
      <c r="E59" s="81">
        <f t="shared" si="7"/>
        <v>1.2191973379073329</v>
      </c>
      <c r="F59" s="87">
        <f t="shared" si="7"/>
        <v>2.7303013486693102</v>
      </c>
      <c r="G59" s="84">
        <f t="shared" si="7"/>
        <v>78.750904016849574</v>
      </c>
      <c r="H59" s="84">
        <f t="shared" si="7"/>
        <v>71.001959304494875</v>
      </c>
      <c r="I59" s="81">
        <f t="shared" si="7"/>
        <v>1.4073520796279171</v>
      </c>
      <c r="J59" s="87">
        <f t="shared" si="7"/>
        <v>2.2527383185742611</v>
      </c>
      <c r="K59" s="84">
        <f t="shared" si="7"/>
        <v>65.384540482127505</v>
      </c>
      <c r="L59" s="84">
        <f t="shared" si="7"/>
        <v>179.07036010821815</v>
      </c>
      <c r="M59" s="81">
        <f t="shared" si="7"/>
        <v>1.5483262852881754</v>
      </c>
      <c r="N59" s="87">
        <f t="shared" si="7"/>
        <v>1.0756508696544758</v>
      </c>
      <c r="O59" s="84">
        <f t="shared" si="7"/>
        <v>53.664072668926252</v>
      </c>
      <c r="P59" s="84">
        <f t="shared" si="7"/>
        <v>89.42267089460934</v>
      </c>
      <c r="Q59" s="81">
        <f t="shared" si="7"/>
        <v>1.7083096013939945</v>
      </c>
      <c r="R59" s="87">
        <f t="shared" si="7"/>
        <v>2.5700918078594874</v>
      </c>
      <c r="S59" s="84">
        <f t="shared" si="7"/>
        <v>37.019783375338946</v>
      </c>
      <c r="T59" s="84">
        <f t="shared" si="7"/>
        <v>85.242140594155117</v>
      </c>
      <c r="U59" s="82">
        <f t="shared" si="7"/>
        <v>2.3364282357535586</v>
      </c>
      <c r="V59" s="83">
        <f t="shared" si="7"/>
        <v>2.1594497309490368</v>
      </c>
      <c r="W59" s="84">
        <f t="shared" si="7"/>
        <v>32.261696700545805</v>
      </c>
      <c r="X59" s="84">
        <f t="shared" si="7"/>
        <v>13.183832432176391</v>
      </c>
      <c r="Y59" s="81">
        <f t="shared" si="7"/>
        <v>0.158255599302975</v>
      </c>
      <c r="Z59" s="87">
        <f t="shared" si="7"/>
        <v>2.7412520515117458</v>
      </c>
      <c r="AA59" s="84">
        <f t="shared" si="7"/>
        <v>25.410176909082065</v>
      </c>
      <c r="AB59" s="84">
        <f t="shared" si="7"/>
        <v>17.400119375277331</v>
      </c>
      <c r="AC59" s="81">
        <f t="shared" si="7"/>
        <v>0.30413812651491207</v>
      </c>
      <c r="AD59" s="87">
        <f t="shared" si="7"/>
        <v>2.0973221809198779</v>
      </c>
      <c r="AE59" s="84">
        <f t="shared" si="7"/>
        <v>11.00680329452789</v>
      </c>
      <c r="AF59" s="84">
        <f t="shared" si="7"/>
        <v>45.143852368712572</v>
      </c>
      <c r="AG59" s="81">
        <f t="shared" si="7"/>
        <v>0.38824062786365726</v>
      </c>
      <c r="AH59" s="87">
        <f t="shared" si="7"/>
        <v>2.8195945415404688</v>
      </c>
      <c r="AI59" s="84">
        <f t="shared" si="7"/>
        <v>13.503594667704562</v>
      </c>
      <c r="AJ59" s="84">
        <f t="shared" si="7"/>
        <v>30.485375548429133</v>
      </c>
      <c r="AK59" s="81">
        <f t="shared" si="7"/>
        <v>0.61010017392410421</v>
      </c>
      <c r="AL59" s="87">
        <f t="shared" si="7"/>
        <v>4.4972443353202687</v>
      </c>
      <c r="AM59" s="84">
        <f t="shared" si="7"/>
        <v>15.470295630927966</v>
      </c>
      <c r="AN59" s="84">
        <f t="shared" si="7"/>
        <v>27.389462809056383</v>
      </c>
      <c r="AO59" s="82">
        <f t="shared" si="7"/>
        <v>0.99271572171102029</v>
      </c>
      <c r="AP59" s="83">
        <f t="shared" si="7"/>
        <v>2.0087617994531231</v>
      </c>
      <c r="AQ59" s="84">
        <f t="shared" si="7"/>
        <v>13.709650769629622</v>
      </c>
      <c r="AR59" s="84">
        <f t="shared" si="7"/>
        <v>49.501595282750166</v>
      </c>
      <c r="AS59" s="81">
        <f t="shared" si="7"/>
        <v>0.44527005455970586</v>
      </c>
      <c r="AT59" s="87">
        <f t="shared" si="7"/>
        <v>7.1574454202117845</v>
      </c>
      <c r="AU59" s="84">
        <f t="shared" si="7"/>
        <v>40.525031812040964</v>
      </c>
      <c r="AV59" s="84">
        <f t="shared" si="7"/>
        <v>75.907966329288612</v>
      </c>
      <c r="AW59" s="81">
        <f t="shared" si="7"/>
        <v>0.91017805190402135</v>
      </c>
      <c r="AX59" s="87">
        <f t="shared" si="7"/>
        <v>2.0314980007334804</v>
      </c>
      <c r="AY59" s="84">
        <f t="shared" si="7"/>
        <v>18.056135963111519</v>
      </c>
      <c r="AZ59" s="84">
        <f t="shared" si="7"/>
        <v>63.706782692251281</v>
      </c>
      <c r="BA59" s="81">
        <f t="shared" si="7"/>
        <v>0.54147484829663972</v>
      </c>
      <c r="BB59" s="87">
        <f t="shared" si="7"/>
        <v>2.807899129360091</v>
      </c>
      <c r="BC59" s="84">
        <f t="shared" si="7"/>
        <v>63.135132822807755</v>
      </c>
      <c r="BD59" s="84">
        <f t="shared" si="7"/>
        <v>41.252273445616275</v>
      </c>
      <c r="BE59" s="81">
        <f t="shared" si="7"/>
        <v>0.61231438239891034</v>
      </c>
      <c r="BF59" s="87">
        <f t="shared" si="7"/>
        <v>5.7854191187990249</v>
      </c>
      <c r="BG59" s="84">
        <f t="shared" si="7"/>
        <v>28.740033141597429</v>
      </c>
      <c r="BH59" s="84">
        <f t="shared" si="7"/>
        <v>109.6045349760879</v>
      </c>
      <c r="BI59" s="82">
        <f t="shared" si="7"/>
        <v>1.6712683072981847</v>
      </c>
    </row>
    <row r="60" spans="1:61">
      <c r="B60" s="79"/>
      <c r="C60" s="80"/>
      <c r="D60" s="80"/>
      <c r="E60" s="81"/>
      <c r="F60" s="80"/>
      <c r="G60" s="80"/>
      <c r="H60" s="80"/>
      <c r="I60" s="81"/>
      <c r="J60" s="80"/>
      <c r="K60" s="80"/>
      <c r="L60" s="80"/>
      <c r="M60" s="81"/>
      <c r="N60" s="80"/>
      <c r="O60" s="80"/>
      <c r="P60" s="80"/>
      <c r="Q60" s="81"/>
      <c r="R60" s="80"/>
      <c r="S60" s="80"/>
      <c r="T60" s="80"/>
      <c r="U60" s="82"/>
      <c r="V60" s="79"/>
      <c r="W60" s="80"/>
      <c r="X60" s="80"/>
      <c r="Y60" s="81"/>
      <c r="Z60" s="80"/>
      <c r="AA60" s="80"/>
      <c r="AB60" s="80"/>
      <c r="AC60" s="81"/>
      <c r="AD60" s="80"/>
      <c r="AE60" s="80"/>
      <c r="AF60" s="80"/>
      <c r="AG60" s="81"/>
      <c r="AH60" s="80"/>
      <c r="AI60" s="80"/>
      <c r="AJ60" s="80"/>
      <c r="AK60" s="81"/>
      <c r="AL60" s="80"/>
      <c r="AM60" s="80"/>
      <c r="AN60" s="80"/>
      <c r="AO60" s="82"/>
      <c r="AP60" s="79"/>
      <c r="AQ60" s="80"/>
      <c r="AR60" s="80"/>
      <c r="AS60" s="85"/>
      <c r="AT60" s="86"/>
      <c r="AU60" s="80"/>
      <c r="AV60" s="80"/>
      <c r="AW60" s="85"/>
      <c r="AX60" s="86"/>
      <c r="AY60" s="80"/>
      <c r="AZ60" s="80"/>
      <c r="BA60" s="85"/>
      <c r="BB60" s="86"/>
      <c r="BC60" s="80"/>
      <c r="BD60" s="80"/>
      <c r="BE60" s="85"/>
      <c r="BF60" s="86"/>
      <c r="BG60" s="80"/>
      <c r="BH60" s="80"/>
      <c r="BI60" s="88"/>
    </row>
    <row r="61" spans="1:61">
      <c r="B61" s="79"/>
      <c r="C61" s="80"/>
      <c r="D61" s="80"/>
      <c r="E61" s="81"/>
      <c r="F61" s="80"/>
      <c r="G61" s="80"/>
      <c r="H61" s="80"/>
      <c r="I61" s="81"/>
      <c r="J61" s="80"/>
      <c r="K61" s="80"/>
      <c r="L61" s="80"/>
      <c r="M61" s="81"/>
      <c r="N61" s="80"/>
      <c r="O61" s="80"/>
      <c r="P61" s="80"/>
      <c r="Q61" s="81"/>
      <c r="R61" s="80"/>
      <c r="S61" s="80"/>
      <c r="T61" s="80"/>
      <c r="U61" s="82"/>
      <c r="V61" s="79"/>
      <c r="W61" s="80"/>
      <c r="X61" s="80"/>
      <c r="Y61" s="81"/>
      <c r="Z61" s="80"/>
      <c r="AA61" s="80"/>
      <c r="AB61" s="80"/>
      <c r="AC61" s="81"/>
      <c r="AD61" s="80"/>
      <c r="AE61" s="80"/>
      <c r="AF61" s="80"/>
      <c r="AG61" s="81"/>
      <c r="AH61" s="80"/>
      <c r="AI61" s="80"/>
      <c r="AJ61" s="80"/>
      <c r="AK61" s="81"/>
      <c r="AL61" s="80"/>
      <c r="AM61" s="80"/>
      <c r="AN61" s="80"/>
      <c r="AO61" s="82"/>
      <c r="AP61" s="79"/>
      <c r="AQ61" s="80"/>
      <c r="AR61" s="80"/>
      <c r="AS61" s="81"/>
      <c r="AT61" s="80"/>
      <c r="AU61" s="80"/>
      <c r="AV61" s="80"/>
      <c r="AW61" s="81"/>
      <c r="AX61" s="80"/>
      <c r="AY61" s="80"/>
      <c r="AZ61" s="80"/>
      <c r="BA61" s="81"/>
      <c r="BB61" s="80"/>
      <c r="BC61" s="80"/>
      <c r="BD61" s="80"/>
      <c r="BE61" s="81"/>
      <c r="BF61" s="80"/>
      <c r="BG61" s="80"/>
      <c r="BH61" s="80"/>
      <c r="BI61" s="82"/>
    </row>
    <row r="62" spans="1:61" s="116" customFormat="1" ht="14" thickBot="1">
      <c r="A62" s="111" t="s">
        <v>96</v>
      </c>
      <c r="B62" s="112" t="s">
        <v>29</v>
      </c>
      <c r="C62" s="113" t="s">
        <v>30</v>
      </c>
      <c r="D62" s="113" t="s">
        <v>31</v>
      </c>
      <c r="E62" s="114" t="s">
        <v>32</v>
      </c>
      <c r="F62" s="113" t="s">
        <v>29</v>
      </c>
      <c r="G62" s="113" t="s">
        <v>30</v>
      </c>
      <c r="H62" s="113" t="s">
        <v>31</v>
      </c>
      <c r="I62" s="114" t="s">
        <v>32</v>
      </c>
      <c r="J62" s="113" t="s">
        <v>29</v>
      </c>
      <c r="K62" s="113" t="s">
        <v>30</v>
      </c>
      <c r="L62" s="113" t="s">
        <v>31</v>
      </c>
      <c r="M62" s="114" t="s">
        <v>32</v>
      </c>
      <c r="N62" s="113" t="s">
        <v>29</v>
      </c>
      <c r="O62" s="113" t="s">
        <v>30</v>
      </c>
      <c r="P62" s="113" t="s">
        <v>31</v>
      </c>
      <c r="Q62" s="114" t="s">
        <v>32</v>
      </c>
      <c r="R62" s="113" t="s">
        <v>29</v>
      </c>
      <c r="S62" s="113" t="s">
        <v>30</v>
      </c>
      <c r="T62" s="113" t="s">
        <v>31</v>
      </c>
      <c r="U62" s="115" t="s">
        <v>32</v>
      </c>
      <c r="V62" s="112" t="s">
        <v>29</v>
      </c>
      <c r="W62" s="113" t="s">
        <v>30</v>
      </c>
      <c r="X62" s="113" t="s">
        <v>31</v>
      </c>
      <c r="Y62" s="114" t="s">
        <v>32</v>
      </c>
      <c r="Z62" s="113" t="s">
        <v>29</v>
      </c>
      <c r="AA62" s="113" t="s">
        <v>30</v>
      </c>
      <c r="AB62" s="113" t="s">
        <v>31</v>
      </c>
      <c r="AC62" s="114" t="s">
        <v>32</v>
      </c>
      <c r="AD62" s="113" t="s">
        <v>29</v>
      </c>
      <c r="AE62" s="113" t="s">
        <v>30</v>
      </c>
      <c r="AF62" s="113" t="s">
        <v>31</v>
      </c>
      <c r="AG62" s="114" t="s">
        <v>32</v>
      </c>
      <c r="AH62" s="113" t="s">
        <v>29</v>
      </c>
      <c r="AI62" s="113" t="s">
        <v>30</v>
      </c>
      <c r="AJ62" s="113" t="s">
        <v>31</v>
      </c>
      <c r="AK62" s="114" t="s">
        <v>32</v>
      </c>
      <c r="AL62" s="113" t="s">
        <v>29</v>
      </c>
      <c r="AM62" s="113" t="s">
        <v>30</v>
      </c>
      <c r="AN62" s="113" t="s">
        <v>31</v>
      </c>
      <c r="AO62" s="115" t="s">
        <v>32</v>
      </c>
      <c r="AP62" s="112" t="s">
        <v>29</v>
      </c>
      <c r="AQ62" s="113" t="s">
        <v>30</v>
      </c>
      <c r="AR62" s="113" t="s">
        <v>31</v>
      </c>
      <c r="AS62" s="114" t="s">
        <v>32</v>
      </c>
      <c r="AT62" s="113" t="s">
        <v>29</v>
      </c>
      <c r="AU62" s="113" t="s">
        <v>30</v>
      </c>
      <c r="AV62" s="113" t="s">
        <v>31</v>
      </c>
      <c r="AW62" s="114" t="s">
        <v>32</v>
      </c>
      <c r="AX62" s="113" t="s">
        <v>29</v>
      </c>
      <c r="AY62" s="113" t="s">
        <v>30</v>
      </c>
      <c r="AZ62" s="113" t="s">
        <v>31</v>
      </c>
      <c r="BA62" s="114" t="s">
        <v>32</v>
      </c>
      <c r="BB62" s="113" t="s">
        <v>29</v>
      </c>
      <c r="BC62" s="113" t="s">
        <v>30</v>
      </c>
      <c r="BD62" s="113" t="s">
        <v>31</v>
      </c>
      <c r="BE62" s="114" t="s">
        <v>32</v>
      </c>
      <c r="BF62" s="113" t="s">
        <v>29</v>
      </c>
      <c r="BG62" s="113" t="s">
        <v>30</v>
      </c>
      <c r="BH62" s="113" t="s">
        <v>31</v>
      </c>
      <c r="BI62" s="115" t="s">
        <v>32</v>
      </c>
    </row>
    <row r="63" spans="1:61">
      <c r="A63" s="107" t="s">
        <v>97</v>
      </c>
      <c r="B63" s="117">
        <f>B26+B56-2</f>
        <v>40</v>
      </c>
      <c r="C63" s="118">
        <f t="shared" ref="C63:U63" si="8">C26+C56-2</f>
        <v>40</v>
      </c>
      <c r="D63" s="118">
        <f t="shared" si="8"/>
        <v>40</v>
      </c>
      <c r="E63" s="119">
        <f t="shared" si="8"/>
        <v>40</v>
      </c>
      <c r="F63" s="120">
        <f t="shared" si="8"/>
        <v>40</v>
      </c>
      <c r="G63" s="118">
        <f t="shared" si="8"/>
        <v>40</v>
      </c>
      <c r="H63" s="118">
        <f t="shared" si="8"/>
        <v>40</v>
      </c>
      <c r="I63" s="119">
        <f t="shared" si="8"/>
        <v>40</v>
      </c>
      <c r="J63" s="120">
        <f t="shared" si="8"/>
        <v>37</v>
      </c>
      <c r="K63" s="118">
        <f t="shared" si="8"/>
        <v>37</v>
      </c>
      <c r="L63" s="118">
        <f t="shared" si="8"/>
        <v>37</v>
      </c>
      <c r="M63" s="119">
        <f t="shared" si="8"/>
        <v>37</v>
      </c>
      <c r="N63" s="120">
        <f t="shared" si="8"/>
        <v>40</v>
      </c>
      <c r="O63" s="118">
        <f t="shared" si="8"/>
        <v>40</v>
      </c>
      <c r="P63" s="118">
        <f t="shared" si="8"/>
        <v>40</v>
      </c>
      <c r="Q63" s="119">
        <f t="shared" si="8"/>
        <v>40</v>
      </c>
      <c r="R63" s="120">
        <f t="shared" si="8"/>
        <v>39</v>
      </c>
      <c r="S63" s="118">
        <f t="shared" si="8"/>
        <v>39</v>
      </c>
      <c r="T63" s="118">
        <f t="shared" si="8"/>
        <v>39</v>
      </c>
      <c r="U63" s="121">
        <f t="shared" si="8"/>
        <v>39</v>
      </c>
      <c r="V63" s="80">
        <f>V26+V56-2</f>
        <v>40</v>
      </c>
      <c r="W63" s="80">
        <f t="shared" ref="W63:AO63" si="9">W26+W56-2</f>
        <v>40</v>
      </c>
      <c r="X63" s="80">
        <f t="shared" si="9"/>
        <v>40</v>
      </c>
      <c r="Y63" s="85">
        <f t="shared" si="9"/>
        <v>40</v>
      </c>
      <c r="Z63" s="80">
        <f t="shared" si="9"/>
        <v>40</v>
      </c>
      <c r="AA63" s="80">
        <f t="shared" si="9"/>
        <v>40</v>
      </c>
      <c r="AB63" s="80">
        <f t="shared" si="9"/>
        <v>40</v>
      </c>
      <c r="AC63" s="85">
        <f t="shared" si="9"/>
        <v>40</v>
      </c>
      <c r="AD63" s="80">
        <f t="shared" si="9"/>
        <v>39</v>
      </c>
      <c r="AE63" s="80">
        <f t="shared" si="9"/>
        <v>39</v>
      </c>
      <c r="AF63" s="80">
        <f t="shared" si="9"/>
        <v>39</v>
      </c>
      <c r="AG63" s="85">
        <f t="shared" si="9"/>
        <v>39</v>
      </c>
      <c r="AH63" s="80">
        <f t="shared" si="9"/>
        <v>39</v>
      </c>
      <c r="AI63" s="80">
        <f t="shared" si="9"/>
        <v>39</v>
      </c>
      <c r="AJ63" s="80">
        <f t="shared" si="9"/>
        <v>39</v>
      </c>
      <c r="AK63" s="85">
        <f t="shared" si="9"/>
        <v>39</v>
      </c>
      <c r="AL63" s="80">
        <f t="shared" si="9"/>
        <v>39</v>
      </c>
      <c r="AM63" s="80">
        <f t="shared" si="9"/>
        <v>39</v>
      </c>
      <c r="AN63" s="80">
        <f t="shared" si="9"/>
        <v>39</v>
      </c>
      <c r="AO63" s="88">
        <f t="shared" si="9"/>
        <v>39</v>
      </c>
      <c r="AP63" s="79">
        <f>AP26+AP56-2</f>
        <v>40</v>
      </c>
      <c r="AQ63" s="80">
        <f t="shared" ref="AQ63:BI63" si="10">AQ26+AQ56-2</f>
        <v>40</v>
      </c>
      <c r="AR63" s="80">
        <f t="shared" si="10"/>
        <v>40</v>
      </c>
      <c r="AS63" s="85">
        <f t="shared" si="10"/>
        <v>40</v>
      </c>
      <c r="AT63" s="80">
        <f t="shared" si="10"/>
        <v>37</v>
      </c>
      <c r="AU63" s="80">
        <f t="shared" si="10"/>
        <v>37</v>
      </c>
      <c r="AV63" s="80">
        <f t="shared" si="10"/>
        <v>37</v>
      </c>
      <c r="AW63" s="85">
        <f t="shared" si="10"/>
        <v>37</v>
      </c>
      <c r="AX63" s="80">
        <f t="shared" si="10"/>
        <v>39</v>
      </c>
      <c r="AY63" s="80">
        <f t="shared" si="10"/>
        <v>39</v>
      </c>
      <c r="AZ63" s="80">
        <f t="shared" si="10"/>
        <v>39</v>
      </c>
      <c r="BA63" s="85">
        <f t="shared" si="10"/>
        <v>39</v>
      </c>
      <c r="BB63" s="80">
        <f t="shared" si="10"/>
        <v>40</v>
      </c>
      <c r="BC63" s="80">
        <f t="shared" si="10"/>
        <v>40</v>
      </c>
      <c r="BD63" s="80">
        <f t="shared" si="10"/>
        <v>40</v>
      </c>
      <c r="BE63" s="85">
        <f t="shared" si="10"/>
        <v>40</v>
      </c>
      <c r="BF63" s="80">
        <f t="shared" si="10"/>
        <v>40</v>
      </c>
      <c r="BG63" s="80">
        <f t="shared" si="10"/>
        <v>40</v>
      </c>
      <c r="BH63" s="80">
        <f t="shared" si="10"/>
        <v>40</v>
      </c>
      <c r="BI63" s="88">
        <f t="shared" si="10"/>
        <v>40</v>
      </c>
    </row>
    <row r="64" spans="1:61">
      <c r="A64" s="107" t="s">
        <v>98</v>
      </c>
      <c r="B64" s="122">
        <f>ABS(B27-B57)/SQRT(B28/B26+B58/B56)</f>
        <v>0.88892837734351082</v>
      </c>
      <c r="C64" s="123">
        <f t="shared" ref="C64:U64" si="11">ABS(C27-C57)/SQRT(C28/C26+C58/C56)</f>
        <v>7.6511885632079073</v>
      </c>
      <c r="D64" s="123">
        <f t="shared" si="11"/>
        <v>6.2107866376254925</v>
      </c>
      <c r="E64" s="81">
        <f t="shared" si="11"/>
        <v>5.9419089376983294</v>
      </c>
      <c r="F64" s="124">
        <f t="shared" si="11"/>
        <v>0.61409581627233534</v>
      </c>
      <c r="G64" s="123">
        <f t="shared" si="11"/>
        <v>4.8067269216021522</v>
      </c>
      <c r="H64" s="123">
        <f t="shared" si="11"/>
        <v>4.7709064049015826</v>
      </c>
      <c r="I64" s="81">
        <f t="shared" si="11"/>
        <v>4.5187617021592006</v>
      </c>
      <c r="J64" s="124">
        <f t="shared" si="11"/>
        <v>1.0297183184744447</v>
      </c>
      <c r="K64" s="123">
        <f t="shared" si="11"/>
        <v>4.5421325797167782</v>
      </c>
      <c r="L64" s="123">
        <f t="shared" si="11"/>
        <v>4.5215436340803636</v>
      </c>
      <c r="M64" s="81">
        <f t="shared" si="11"/>
        <v>4.8002670318115035</v>
      </c>
      <c r="N64" s="124">
        <f t="shared" si="11"/>
        <v>0.45569657983866557</v>
      </c>
      <c r="O64" s="123">
        <f t="shared" si="11"/>
        <v>5.8674688280961131</v>
      </c>
      <c r="P64" s="123">
        <f t="shared" si="11"/>
        <v>3.6979533741480557</v>
      </c>
      <c r="Q64" s="81">
        <f t="shared" si="11"/>
        <v>3.7380773626233421</v>
      </c>
      <c r="R64" s="124">
        <f t="shared" si="11"/>
        <v>1.1861568777708413</v>
      </c>
      <c r="S64" s="123">
        <f t="shared" si="11"/>
        <v>6.7701501400003803</v>
      </c>
      <c r="T64" s="123">
        <f t="shared" si="11"/>
        <v>4.027885658870729</v>
      </c>
      <c r="U64" s="82">
        <f t="shared" si="11"/>
        <v>4.1218517691269749</v>
      </c>
      <c r="V64" s="123">
        <f>ABS(V27-V57)/SQRT(V28/V26+V58/V56)</f>
        <v>1.0924955712793205</v>
      </c>
      <c r="W64" s="123">
        <f t="shared" ref="W64:AO64" si="12">ABS(W27-W57)/SQRT(W28/W26+W58/W56)</f>
        <v>2.1315616866433857</v>
      </c>
      <c r="X64" s="123">
        <f t="shared" si="12"/>
        <v>1.5009817751200534</v>
      </c>
      <c r="Y64" s="81">
        <f t="shared" si="12"/>
        <v>0.9663794851737374</v>
      </c>
      <c r="Z64" s="123">
        <f t="shared" si="12"/>
        <v>1.7085479667723176</v>
      </c>
      <c r="AA64" s="123">
        <f t="shared" si="12"/>
        <v>2.3513816717944902</v>
      </c>
      <c r="AB64" s="123">
        <f t="shared" si="12"/>
        <v>1.6196033494807844</v>
      </c>
      <c r="AC64" s="81">
        <f t="shared" si="12"/>
        <v>1.8541089917628981</v>
      </c>
      <c r="AD64" s="123">
        <f t="shared" si="12"/>
        <v>0.49344916458181631</v>
      </c>
      <c r="AE64" s="123">
        <f t="shared" si="12"/>
        <v>1.8996964826073213</v>
      </c>
      <c r="AF64" s="123">
        <f t="shared" si="12"/>
        <v>0.41219511284587873</v>
      </c>
      <c r="AG64" s="81">
        <f t="shared" si="12"/>
        <v>0.7236056252753128</v>
      </c>
      <c r="AH64" s="123">
        <f t="shared" si="12"/>
        <v>6.2801647546558106E-2</v>
      </c>
      <c r="AI64" s="123">
        <f t="shared" si="12"/>
        <v>1.7594464388002486</v>
      </c>
      <c r="AJ64" s="123">
        <f t="shared" si="12"/>
        <v>0.35032971082592085</v>
      </c>
      <c r="AK64" s="81">
        <f t="shared" si="12"/>
        <v>0.50337732227811716</v>
      </c>
      <c r="AL64" s="123">
        <f t="shared" si="12"/>
        <v>0.61799790577412517</v>
      </c>
      <c r="AM64" s="123">
        <f t="shared" si="12"/>
        <v>2.9729504836262719</v>
      </c>
      <c r="AN64" s="123">
        <f t="shared" si="12"/>
        <v>0.13497332323133504</v>
      </c>
      <c r="AO64" s="82">
        <f t="shared" si="12"/>
        <v>4.2480440877115312E-2</v>
      </c>
      <c r="AP64" s="122">
        <f>ABS(AP27-AP57)/SQRT(AP28/AP26+AP58/AP56)</f>
        <v>9.476562697205751E-2</v>
      </c>
      <c r="AQ64" s="123">
        <f t="shared" ref="AQ64:BI64" si="13">ABS(AQ27-AQ57)/SQRT(AQ28/AQ26+AQ58/AQ56)</f>
        <v>0.5819279245188429</v>
      </c>
      <c r="AR64" s="123">
        <f t="shared" si="13"/>
        <v>1.6909449406122763</v>
      </c>
      <c r="AS64" s="81">
        <f t="shared" si="13"/>
        <v>1.253317486079309</v>
      </c>
      <c r="AT64" s="123">
        <f t="shared" si="13"/>
        <v>1.3675876096934563</v>
      </c>
      <c r="AU64" s="123">
        <f t="shared" si="13"/>
        <v>1.324151289187774</v>
      </c>
      <c r="AV64" s="123">
        <f t="shared" si="13"/>
        <v>0.1953922207367311</v>
      </c>
      <c r="AW64" s="81">
        <f t="shared" si="13"/>
        <v>1.5141284929077656</v>
      </c>
      <c r="AX64" s="123">
        <f t="shared" si="13"/>
        <v>1.0517809000775873</v>
      </c>
      <c r="AY64" s="123">
        <f t="shared" si="13"/>
        <v>2.0944546878524157</v>
      </c>
      <c r="AZ64" s="123">
        <f t="shared" si="13"/>
        <v>1.2036924991940252</v>
      </c>
      <c r="BA64" s="81">
        <f t="shared" si="13"/>
        <v>1.8467277248032448</v>
      </c>
      <c r="BB64" s="123">
        <f t="shared" si="13"/>
        <v>0.94060859963457033</v>
      </c>
      <c r="BC64" s="123">
        <f t="shared" si="13"/>
        <v>2.1613660642469257</v>
      </c>
      <c r="BD64" s="123">
        <f t="shared" si="13"/>
        <v>1.790746009039673</v>
      </c>
      <c r="BE64" s="81">
        <f t="shared" si="13"/>
        <v>1.009566490403107</v>
      </c>
      <c r="BF64" s="123">
        <f t="shared" si="13"/>
        <v>2.0415522024484893</v>
      </c>
      <c r="BG64" s="123">
        <f t="shared" si="13"/>
        <v>3.4066054221828672</v>
      </c>
      <c r="BH64" s="123">
        <f t="shared" si="13"/>
        <v>1.231962821475004</v>
      </c>
      <c r="BI64" s="82">
        <f t="shared" si="13"/>
        <v>0.7441404380141412</v>
      </c>
    </row>
    <row r="65" spans="1:61">
      <c r="A65" s="107" t="s">
        <v>99</v>
      </c>
      <c r="B65" s="125">
        <f>TDIST(B64,B63,2)</f>
        <v>0.37935638033068797</v>
      </c>
      <c r="C65" s="126">
        <f t="shared" ref="C65:U65" si="14">TDIST(C64,C63,2)</f>
        <v>2.3623889155515611E-9</v>
      </c>
      <c r="D65" s="126">
        <f t="shared" si="14"/>
        <v>2.3887376677316143E-7</v>
      </c>
      <c r="E65" s="127">
        <f t="shared" si="14"/>
        <v>5.7044780341863963E-7</v>
      </c>
      <c r="F65" s="128">
        <f t="shared" si="14"/>
        <v>0.5426291633717194</v>
      </c>
      <c r="G65" s="126">
        <f t="shared" si="14"/>
        <v>2.1874491533257802E-5</v>
      </c>
      <c r="H65" s="126">
        <f t="shared" si="14"/>
        <v>2.4497712451622891E-5</v>
      </c>
      <c r="I65" s="127">
        <f t="shared" si="14"/>
        <v>5.4084895976109887E-5</v>
      </c>
      <c r="J65" s="128">
        <f t="shared" si="14"/>
        <v>0.30982683247630477</v>
      </c>
      <c r="K65" s="126">
        <f t="shared" si="14"/>
        <v>5.7466435419047811E-5</v>
      </c>
      <c r="L65" s="126">
        <f t="shared" si="14"/>
        <v>6.1177198548557086E-5</v>
      </c>
      <c r="M65" s="127">
        <f t="shared" si="14"/>
        <v>2.6103753159597406E-5</v>
      </c>
      <c r="N65" s="128">
        <f t="shared" si="14"/>
        <v>0.65107248025619135</v>
      </c>
      <c r="O65" s="126">
        <f t="shared" si="14"/>
        <v>7.2588300305177137E-7</v>
      </c>
      <c r="P65" s="126">
        <f t="shared" si="14"/>
        <v>6.5242676275309973E-4</v>
      </c>
      <c r="Q65" s="127">
        <f t="shared" si="14"/>
        <v>5.7996060536720886E-4</v>
      </c>
      <c r="R65" s="128">
        <f t="shared" si="14"/>
        <v>0.24273657770668833</v>
      </c>
      <c r="S65" s="126">
        <f t="shared" si="14"/>
        <v>4.4387252566510081E-8</v>
      </c>
      <c r="T65" s="126">
        <f t="shared" si="14"/>
        <v>2.5192616577104264E-4</v>
      </c>
      <c r="U65" s="129">
        <f t="shared" si="14"/>
        <v>1.8990527245235197E-4</v>
      </c>
      <c r="V65" s="126">
        <f>TDIST(V64,V63,2)</f>
        <v>0.28115175497824468</v>
      </c>
      <c r="W65" s="126">
        <f t="shared" ref="W65" si="15">TDIST(W64,W63,2)</f>
        <v>3.9237634991740898E-2</v>
      </c>
      <c r="X65" s="126">
        <f t="shared" ref="X65" si="16">TDIST(X64,X63,2)</f>
        <v>0.14121343331365496</v>
      </c>
      <c r="Y65" s="127">
        <f t="shared" ref="Y65" si="17">TDIST(Y64,Y63,2)</f>
        <v>0.33966111773100205</v>
      </c>
      <c r="Z65" s="126">
        <f t="shared" ref="Z65" si="18">TDIST(Z64,Z63,2)</f>
        <v>9.5284803073760443E-2</v>
      </c>
      <c r="AA65" s="126">
        <f t="shared" ref="AA65" si="19">TDIST(AA64,AA63,2)</f>
        <v>2.3717540442391601E-2</v>
      </c>
      <c r="AB65" s="126">
        <f t="shared" ref="AB65" si="20">TDIST(AB64,AB63,2)</f>
        <v>0.11317614676658561</v>
      </c>
      <c r="AC65" s="127">
        <f t="shared" ref="AC65" si="21">TDIST(AC64,AC63,2)</f>
        <v>7.1107457982733185E-2</v>
      </c>
      <c r="AD65" s="126">
        <f t="shared" ref="AD65" si="22">TDIST(AD64,AD63,2)</f>
        <v>0.62446267228464003</v>
      </c>
      <c r="AE65" s="126">
        <f t="shared" ref="AE65" si="23">TDIST(AE64,AE63,2)</f>
        <v>6.488602181620709E-2</v>
      </c>
      <c r="AF65" s="126">
        <f t="shared" ref="AF65" si="24">TDIST(AF64,AF63,2)</f>
        <v>0.68245342024049749</v>
      </c>
      <c r="AG65" s="127">
        <f t="shared" ref="AG65" si="25">TDIST(AG64,AG63,2)</f>
        <v>0.47362600198169791</v>
      </c>
      <c r="AH65" s="126">
        <f t="shared" ref="AH65" si="26">TDIST(AH64,AH63,2)</f>
        <v>0.95024522659058608</v>
      </c>
      <c r="AI65" s="126">
        <f t="shared" ref="AI65" si="27">TDIST(AI64,AI63,2)</f>
        <v>8.6345017713703648E-2</v>
      </c>
      <c r="AJ65" s="126">
        <f t="shared" ref="AJ65" si="28">TDIST(AJ64,AJ63,2)</f>
        <v>0.72797639377747214</v>
      </c>
      <c r="AK65" s="127">
        <f t="shared" ref="AK65" si="29">TDIST(AK64,AK63,2)</f>
        <v>0.6175304373587005</v>
      </c>
      <c r="AL65" s="126">
        <f t="shared" ref="AL65" si="30">TDIST(AL64,AL63,2)</f>
        <v>0.54016909394755541</v>
      </c>
      <c r="AM65" s="126">
        <f t="shared" ref="AM65" si="31">TDIST(AM64,AM63,2)</f>
        <v>5.0353243967723883E-3</v>
      </c>
      <c r="AN65" s="126">
        <f t="shared" ref="AN65" si="32">TDIST(AN64,AN63,2)</f>
        <v>0.89332717880513068</v>
      </c>
      <c r="AO65" s="129">
        <f t="shared" ref="AO65" si="33">TDIST(AO64,AO63,2)</f>
        <v>0.96633245173442739</v>
      </c>
      <c r="AP65" s="125">
        <f>TDIST(AP64,AP63,2)</f>
        <v>0.92497413443970022</v>
      </c>
      <c r="AQ65" s="126">
        <f t="shared" ref="AQ65" si="34">TDIST(AQ64,AQ63,2)</f>
        <v>0.56388084683745121</v>
      </c>
      <c r="AR65" s="126">
        <f t="shared" ref="AR65" si="35">TDIST(AR64,AR63,2)</f>
        <v>9.8626240334647355E-2</v>
      </c>
      <c r="AS65" s="127">
        <f t="shared" ref="AS65" si="36">TDIST(AS64,AS63,2)</f>
        <v>0.2173668554502394</v>
      </c>
      <c r="AT65" s="126">
        <f t="shared" ref="AT65" si="37">TDIST(AT64,AT63,2)</f>
        <v>0.17969142542617095</v>
      </c>
      <c r="AU65" s="126">
        <f t="shared" ref="AU65" si="38">TDIST(AU64,AU63,2)</f>
        <v>0.19357500384596968</v>
      </c>
      <c r="AV65" s="126">
        <f t="shared" ref="AV65" si="39">TDIST(AV64,AV63,2)</f>
        <v>0.84615498280569157</v>
      </c>
      <c r="AW65" s="127">
        <f t="shared" ref="AW65" si="40">TDIST(AW64,AW63,2)</f>
        <v>0.13848974846329673</v>
      </c>
      <c r="AX65" s="126">
        <f t="shared" ref="AX65" si="41">TDIST(AX64,AX63,2)</f>
        <v>0.29937360581927591</v>
      </c>
      <c r="AY65" s="126">
        <f t="shared" ref="AY65" si="42">TDIST(AY64,AY63,2)</f>
        <v>4.2766203557072738E-2</v>
      </c>
      <c r="AZ65" s="126">
        <f t="shared" ref="AZ65" si="43">TDIST(AZ64,AZ63,2)</f>
        <v>0.23596389782860416</v>
      </c>
      <c r="BA65" s="127">
        <f t="shared" ref="BA65" si="44">TDIST(BA64,BA63,2)</f>
        <v>7.2384688145720646E-2</v>
      </c>
      <c r="BB65" s="126">
        <f t="shared" ref="BB65" si="45">TDIST(BB64,BB63,2)</f>
        <v>0.35255147911156337</v>
      </c>
      <c r="BC65" s="126">
        <f t="shared" ref="BC65" si="46">TDIST(BC64,BC63,2)</f>
        <v>3.6708549070622286E-2</v>
      </c>
      <c r="BD65" s="126">
        <f t="shared" ref="BD65" si="47">TDIST(BD64,BD63,2)</f>
        <v>8.0904181970037625E-2</v>
      </c>
      <c r="BE65" s="127">
        <f t="shared" ref="BE65" si="48">TDIST(BE64,BE63,2)</f>
        <v>0.3187713293541739</v>
      </c>
      <c r="BF65" s="126">
        <f t="shared" ref="BF65" si="49">TDIST(BF64,BF63,2)</f>
        <v>4.7830031590489708E-2</v>
      </c>
      <c r="BG65" s="126">
        <f t="shared" ref="BG65" si="50">TDIST(BG64,BG63,2)</f>
        <v>1.5105752788573987E-3</v>
      </c>
      <c r="BH65" s="126">
        <f t="shared" ref="BH65" si="51">TDIST(BH64,BH63,2)</f>
        <v>0.22515618332720691</v>
      </c>
      <c r="BI65" s="129">
        <f t="shared" ref="BI65" si="52">TDIST(BI64,BI63,2)</f>
        <v>0.46114086945419375</v>
      </c>
    </row>
    <row r="66" spans="1:61">
      <c r="B66" s="79"/>
      <c r="C66" s="80"/>
      <c r="D66" s="80"/>
      <c r="E66" s="81"/>
      <c r="F66" s="80"/>
      <c r="G66" s="80"/>
      <c r="H66" s="80"/>
      <c r="I66" s="81"/>
      <c r="J66" s="80"/>
      <c r="K66" s="80"/>
      <c r="L66" s="80"/>
      <c r="M66" s="81"/>
      <c r="N66" s="80"/>
      <c r="O66" s="80"/>
      <c r="P66" s="80"/>
      <c r="Q66" s="81"/>
      <c r="R66" s="80"/>
      <c r="S66" s="80"/>
      <c r="T66" s="80"/>
      <c r="U66" s="82"/>
      <c r="V66" s="79"/>
      <c r="W66" s="80"/>
      <c r="X66" s="80"/>
      <c r="Y66" s="81"/>
      <c r="Z66" s="80"/>
      <c r="AA66" s="80"/>
      <c r="AB66" s="80"/>
      <c r="AC66" s="81"/>
      <c r="AD66" s="80"/>
      <c r="AE66" s="80"/>
      <c r="AF66" s="80"/>
      <c r="AG66" s="81"/>
      <c r="AH66" s="80"/>
      <c r="AI66" s="80"/>
      <c r="AJ66" s="80"/>
      <c r="AK66" s="81"/>
      <c r="AL66" s="80"/>
      <c r="AM66" s="80"/>
      <c r="AN66" s="80"/>
      <c r="AO66" s="82"/>
      <c r="AP66" s="79"/>
      <c r="AQ66" s="80"/>
      <c r="AR66" s="80"/>
      <c r="AS66" s="81"/>
      <c r="AT66" s="80"/>
      <c r="AU66" s="80"/>
      <c r="AV66" s="80"/>
      <c r="AW66" s="81"/>
      <c r="AX66" s="80"/>
      <c r="AY66" s="80"/>
      <c r="AZ66" s="80"/>
      <c r="BA66" s="81"/>
      <c r="BB66" s="80"/>
      <c r="BC66" s="80"/>
      <c r="BD66" s="80"/>
      <c r="BE66" s="81"/>
      <c r="BF66" s="80"/>
      <c r="BG66" s="80"/>
      <c r="BH66" s="80"/>
      <c r="BI66" s="82"/>
    </row>
  </sheetData>
  <pageMargins left="0.25" right="0.25" top="0.75" bottom="0.75" header="0.3" footer="0.3"/>
  <pageSetup scale="94" fitToWidth="3" fitToHeight="2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BBC4-6B36-CC4D-B4C8-B5E70E2BA665}">
  <dimension ref="B1:L31"/>
  <sheetViews>
    <sheetView workbookViewId="0">
      <selection activeCell="F28" sqref="F28"/>
    </sheetView>
  </sheetViews>
  <sheetFormatPr baseColWidth="10" defaultRowHeight="13"/>
  <sheetData>
    <row r="1" spans="2:12" s="133" customFormat="1">
      <c r="C1" s="133" t="s">
        <v>105</v>
      </c>
      <c r="G1" s="133" t="s">
        <v>106</v>
      </c>
      <c r="K1" s="133" t="s">
        <v>107</v>
      </c>
    </row>
    <row r="2" spans="2:12">
      <c r="B2" s="34" t="s">
        <v>100</v>
      </c>
      <c r="C2" s="34" t="s">
        <v>101</v>
      </c>
      <c r="D2" s="34" t="s">
        <v>104</v>
      </c>
      <c r="F2" s="34" t="s">
        <v>100</v>
      </c>
      <c r="G2" s="34" t="s">
        <v>101</v>
      </c>
      <c r="H2" s="34" t="s">
        <v>104</v>
      </c>
      <c r="J2" s="34" t="s">
        <v>103</v>
      </c>
      <c r="K2" s="34" t="s">
        <v>101</v>
      </c>
      <c r="L2" s="34" t="s">
        <v>102</v>
      </c>
    </row>
    <row r="3" spans="2:12">
      <c r="B3" s="34" t="s">
        <v>34</v>
      </c>
      <c r="C3" s="132">
        <f>'all sect'!S27</f>
        <v>165.85331578947367</v>
      </c>
      <c r="D3" s="132"/>
      <c r="F3" s="34" t="s">
        <v>34</v>
      </c>
      <c r="G3" s="132">
        <f>'all sect'!T27</f>
        <v>215.35652631578949</v>
      </c>
      <c r="H3" s="132"/>
      <c r="J3" s="34">
        <v>0</v>
      </c>
      <c r="K3">
        <v>0</v>
      </c>
      <c r="L3">
        <v>0</v>
      </c>
    </row>
    <row r="4" spans="2:12">
      <c r="B4" s="34" t="s">
        <v>28</v>
      </c>
      <c r="C4" s="132">
        <f>'all sect'!G27</f>
        <v>168.39794999999998</v>
      </c>
      <c r="D4" s="132">
        <f>'all sect'!W27</f>
        <v>34.846700000000006</v>
      </c>
      <c r="F4" s="34" t="s">
        <v>28</v>
      </c>
      <c r="G4" s="132">
        <f>'all sect'!H27</f>
        <v>221.24675000000002</v>
      </c>
      <c r="H4" s="132">
        <f>'all sect'!X27</f>
        <v>42.729749999999996</v>
      </c>
      <c r="J4" s="34">
        <v>10</v>
      </c>
      <c r="K4" s="132">
        <f>'all sect'!E27</f>
        <v>2.3645000000000005</v>
      </c>
      <c r="L4" s="132">
        <f>'all sect'!Y27</f>
        <v>0.35674500000000003</v>
      </c>
    </row>
    <row r="5" spans="2:12">
      <c r="B5" s="34" t="s">
        <v>27</v>
      </c>
      <c r="C5" s="132">
        <f>'all sect'!C27</f>
        <v>171.51849999999996</v>
      </c>
      <c r="D5" s="132">
        <f>'all sect'!AA27</f>
        <v>36.026449999999997</v>
      </c>
      <c r="F5" s="34" t="s">
        <v>27</v>
      </c>
      <c r="G5" s="132">
        <f>'all sect'!D27</f>
        <v>235.87850000000003</v>
      </c>
      <c r="H5" s="132">
        <f>'all sect'!AB27</f>
        <v>53.271349999999998</v>
      </c>
      <c r="J5" s="34">
        <v>20</v>
      </c>
      <c r="K5" s="132">
        <f>'all sect'!I27</f>
        <v>4.5317000000000007</v>
      </c>
      <c r="L5" s="132">
        <f>'all sect'!AC27</f>
        <v>0.81400000000000006</v>
      </c>
    </row>
    <row r="6" spans="2:12">
      <c r="B6" s="34" t="s">
        <v>39</v>
      </c>
      <c r="C6" s="132"/>
      <c r="D6" s="132">
        <f>'all sect'!AM27</f>
        <v>38.636821052631582</v>
      </c>
      <c r="F6" s="34" t="s">
        <v>39</v>
      </c>
      <c r="G6" s="132"/>
      <c r="H6" s="132">
        <f>'all sect'!AN27</f>
        <v>94.566884210526339</v>
      </c>
      <c r="J6" s="34">
        <v>30</v>
      </c>
      <c r="K6" s="132">
        <f>'all sect'!U27</f>
        <v>6.564210526315791</v>
      </c>
      <c r="L6" s="132">
        <f>'all sect'!AO27</f>
        <v>2.4242105263157891</v>
      </c>
    </row>
    <row r="7" spans="2:12">
      <c r="C7" s="132"/>
      <c r="D7" s="132"/>
      <c r="G7" s="132"/>
      <c r="H7" s="132"/>
    </row>
    <row r="8" spans="2:12">
      <c r="C8" s="132"/>
      <c r="D8" s="132"/>
      <c r="G8" s="132"/>
      <c r="H8" s="132"/>
    </row>
    <row r="9" spans="2:12">
      <c r="C9" s="132"/>
      <c r="D9" s="132"/>
      <c r="G9" s="132"/>
      <c r="H9" s="132"/>
    </row>
    <row r="10" spans="2:12">
      <c r="C10" s="132"/>
      <c r="D10" s="132"/>
      <c r="G10" s="132"/>
      <c r="H10" s="132"/>
    </row>
    <row r="27" spans="2:12">
      <c r="B27" s="34" t="s">
        <v>100</v>
      </c>
      <c r="C27" s="34" t="s">
        <v>101</v>
      </c>
      <c r="D27" s="34" t="s">
        <v>104</v>
      </c>
      <c r="F27" s="34" t="s">
        <v>100</v>
      </c>
      <c r="G27" s="34" t="s">
        <v>101</v>
      </c>
      <c r="H27" s="34" t="s">
        <v>104</v>
      </c>
      <c r="J27" s="34" t="s">
        <v>103</v>
      </c>
      <c r="K27" s="34" t="s">
        <v>101</v>
      </c>
      <c r="L27" s="34" t="s">
        <v>102</v>
      </c>
    </row>
    <row r="28" spans="2:12">
      <c r="B28" s="34" t="s">
        <v>34</v>
      </c>
      <c r="C28" s="132">
        <f>'all sect'!S57</f>
        <v>240.55545454545455</v>
      </c>
      <c r="D28" s="132"/>
      <c r="F28" s="34" t="s">
        <v>34</v>
      </c>
      <c r="G28" s="132">
        <f>'all sect'!T57</f>
        <v>351.98437878787877</v>
      </c>
      <c r="H28" s="132"/>
      <c r="J28" s="34">
        <v>0</v>
      </c>
      <c r="K28">
        <v>0</v>
      </c>
      <c r="L28">
        <v>0</v>
      </c>
    </row>
    <row r="29" spans="2:12">
      <c r="B29" s="34" t="s">
        <v>28</v>
      </c>
      <c r="C29" s="132">
        <f>'all sect'!G57</f>
        <v>256.9872727272728</v>
      </c>
      <c r="D29" s="132">
        <f>'all sect'!W57</f>
        <v>50.430175727272733</v>
      </c>
      <c r="F29" s="34" t="s">
        <v>28</v>
      </c>
      <c r="G29" s="132">
        <f>'all sect'!H57</f>
        <v>421.01004781818176</v>
      </c>
      <c r="H29" s="132">
        <f>'all sect'!X57</f>
        <v>53.881461818181812</v>
      </c>
      <c r="J29" s="34">
        <v>10</v>
      </c>
      <c r="K29" s="132">
        <f>'all sect'!E57</f>
        <v>5.5781818181818181</v>
      </c>
      <c r="L29" s="132">
        <f>'all sect'!Y57</f>
        <v>0.42772727272727273</v>
      </c>
    </row>
    <row r="30" spans="2:12">
      <c r="B30" s="34" t="s">
        <v>27</v>
      </c>
      <c r="C30" s="132">
        <f>'all sect'!C57</f>
        <v>254.65777272727274</v>
      </c>
      <c r="D30" s="132">
        <f>'all sect'!AA57</f>
        <v>50.014122727272728</v>
      </c>
      <c r="F30" s="34" t="s">
        <v>27</v>
      </c>
      <c r="G30" s="132">
        <f>'all sect'!D57</f>
        <v>550.62850000000003</v>
      </c>
      <c r="H30" s="132">
        <f>'all sect'!AB57</f>
        <v>65.494745558823524</v>
      </c>
      <c r="J30" s="34">
        <v>20</v>
      </c>
      <c r="K30" s="132">
        <f>'all sect'!I57</f>
        <v>8.36318181818182</v>
      </c>
      <c r="L30" s="132">
        <f>'all sect'!AC57</f>
        <v>1.0799999999999998</v>
      </c>
    </row>
    <row r="31" spans="2:12">
      <c r="B31" s="34" t="s">
        <v>39</v>
      </c>
      <c r="C31" s="132"/>
      <c r="D31" s="132">
        <f>'all sect'!AM57</f>
        <v>54.713275636363619</v>
      </c>
      <c r="F31" s="34" t="s">
        <v>39</v>
      </c>
      <c r="G31" s="132"/>
      <c r="H31" s="132">
        <f>'all sect'!AN57</f>
        <v>99.464263636363611</v>
      </c>
      <c r="J31" s="34">
        <v>30</v>
      </c>
      <c r="K31" s="132">
        <f>'all sect'!U57</f>
        <v>10.334090909090907</v>
      </c>
      <c r="L31" s="132">
        <f>'all sect'!AO57</f>
        <v>2.4613636363636364</v>
      </c>
    </row>
  </sheetData>
  <sortState xmlns:xlrd2="http://schemas.microsoft.com/office/spreadsheetml/2017/richdata2" ref="K3:K6">
    <sortCondition ref="K3:K6"/>
  </sortState>
  <pageMargins left="0.7" right="0.7" top="0.75" bottom="0.75" header="0.3" footer="0.3"/>
  <pageSetup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EACA-97DC-2F43-9568-6107C8922454}">
  <dimension ref="B1:L31"/>
  <sheetViews>
    <sheetView workbookViewId="0">
      <selection activeCell="B28" sqref="B28"/>
    </sheetView>
  </sheetViews>
  <sheetFormatPr baseColWidth="10" defaultRowHeight="13"/>
  <sheetData>
    <row r="1" spans="2:12" s="133" customFormat="1">
      <c r="C1" s="133" t="s">
        <v>105</v>
      </c>
      <c r="G1" s="133" t="s">
        <v>106</v>
      </c>
      <c r="K1" s="133" t="s">
        <v>107</v>
      </c>
    </row>
    <row r="2" spans="2:12">
      <c r="B2" s="34" t="s">
        <v>100</v>
      </c>
      <c r="C2" s="34" t="s">
        <v>101</v>
      </c>
      <c r="D2" s="34" t="s">
        <v>108</v>
      </c>
      <c r="F2" s="34" t="s">
        <v>100</v>
      </c>
      <c r="G2" s="34" t="s">
        <v>101</v>
      </c>
      <c r="H2" s="34" t="s">
        <v>108</v>
      </c>
      <c r="J2" s="34" t="s">
        <v>103</v>
      </c>
      <c r="K2" s="34" t="s">
        <v>101</v>
      </c>
      <c r="L2" s="34" t="s">
        <v>108</v>
      </c>
    </row>
    <row r="3" spans="2:12">
      <c r="B3" s="34" t="s">
        <v>34</v>
      </c>
      <c r="C3" s="132">
        <f>'all sect'!S27</f>
        <v>165.85331578947367</v>
      </c>
      <c r="D3" s="132"/>
      <c r="F3" s="34" t="s">
        <v>34</v>
      </c>
      <c r="G3" s="132">
        <f>'all sect'!T27</f>
        <v>215.35652631578949</v>
      </c>
      <c r="H3" s="132"/>
      <c r="J3" s="34">
        <v>0</v>
      </c>
      <c r="K3">
        <v>0</v>
      </c>
      <c r="L3">
        <v>0</v>
      </c>
    </row>
    <row r="4" spans="2:12">
      <c r="B4" s="34" t="s">
        <v>33</v>
      </c>
      <c r="C4" s="132">
        <f>'all sect'!O27</f>
        <v>168.66154999999998</v>
      </c>
      <c r="D4" s="132">
        <f>'all sect'!AQ27</f>
        <v>52.557099999999991</v>
      </c>
      <c r="F4" s="34" t="s">
        <v>33</v>
      </c>
      <c r="G4" s="132">
        <f>'all sect'!P27</f>
        <v>229.50129999999999</v>
      </c>
      <c r="H4" s="132">
        <f>'all sect'!AR27</f>
        <v>121.78035</v>
      </c>
      <c r="J4" s="34">
        <v>10</v>
      </c>
      <c r="K4" s="132">
        <f>'all sect'!M27</f>
        <v>2.2738888888888891</v>
      </c>
      <c r="L4" s="132">
        <f>'all sect'!AS27</f>
        <v>0.87668999999999975</v>
      </c>
    </row>
    <row r="5" spans="2:12">
      <c r="B5" s="34" t="s">
        <v>26</v>
      </c>
      <c r="C5" s="132">
        <f>'all sect'!K27</f>
        <v>173.32</v>
      </c>
      <c r="D5" s="132">
        <f>'all sect'!AU27</f>
        <v>49.784555555555563</v>
      </c>
      <c r="F5" s="34" t="s">
        <v>26</v>
      </c>
      <c r="G5" s="132">
        <f>'all sect'!L27</f>
        <v>224.63033333333334</v>
      </c>
      <c r="H5" s="132">
        <f>'all sect'!AV27</f>
        <v>132.93261111111113</v>
      </c>
      <c r="J5" s="34">
        <v>20</v>
      </c>
      <c r="K5" s="132">
        <f>'all sect'!Q27</f>
        <v>4.4854350000000007</v>
      </c>
      <c r="L5" s="132">
        <f>'all sect'!AW27</f>
        <v>2.0061111111111112</v>
      </c>
    </row>
    <row r="6" spans="2:12">
      <c r="B6" s="34" t="s">
        <v>44</v>
      </c>
      <c r="C6" s="132"/>
      <c r="D6" s="132">
        <f>'all sect'!BG27</f>
        <v>48.525500000000001</v>
      </c>
      <c r="F6" s="34" t="s">
        <v>44</v>
      </c>
      <c r="G6" s="132"/>
      <c r="H6" s="132">
        <f>'all sect'!BH27</f>
        <v>132.97575000000001</v>
      </c>
      <c r="J6" s="34">
        <v>30</v>
      </c>
      <c r="K6" s="132">
        <f>'all sect'!U27</f>
        <v>6.564210526315791</v>
      </c>
      <c r="L6" s="132">
        <f>'all sect'!BI27</f>
        <v>2.9880000000000004</v>
      </c>
    </row>
    <row r="7" spans="2:12">
      <c r="C7" s="132"/>
      <c r="D7" s="132"/>
      <c r="G7" s="132"/>
      <c r="H7" s="132"/>
    </row>
    <row r="8" spans="2:12">
      <c r="C8" s="132"/>
      <c r="D8" s="132"/>
      <c r="G8" s="132"/>
      <c r="H8" s="132"/>
    </row>
    <row r="9" spans="2:12">
      <c r="C9" s="132"/>
      <c r="D9" s="132"/>
      <c r="G9" s="132"/>
      <c r="H9" s="132"/>
    </row>
    <row r="10" spans="2:12">
      <c r="C10" s="132"/>
      <c r="D10" s="132"/>
      <c r="G10" s="132"/>
      <c r="H10" s="132"/>
    </row>
    <row r="27" spans="2:12">
      <c r="B27" s="34" t="s">
        <v>100</v>
      </c>
      <c r="C27" s="34" t="s">
        <v>101</v>
      </c>
      <c r="D27" s="34" t="s">
        <v>108</v>
      </c>
      <c r="F27" s="34" t="s">
        <v>100</v>
      </c>
      <c r="G27" s="34" t="s">
        <v>101</v>
      </c>
      <c r="H27" s="34" t="s">
        <v>108</v>
      </c>
      <c r="J27" s="34" t="s">
        <v>103</v>
      </c>
      <c r="K27" s="34" t="s">
        <v>101</v>
      </c>
      <c r="L27" s="34" t="s">
        <v>108</v>
      </c>
    </row>
    <row r="28" spans="2:12">
      <c r="B28" s="34" t="s">
        <v>34</v>
      </c>
      <c r="C28" s="132">
        <f>'all sect'!S57</f>
        <v>240.55545454545455</v>
      </c>
      <c r="D28" s="132"/>
      <c r="F28" s="34" t="s">
        <v>34</v>
      </c>
      <c r="G28" s="132">
        <f>'all sect'!T57</f>
        <v>351.98437878787877</v>
      </c>
      <c r="H28" s="132"/>
      <c r="J28" s="34">
        <v>0</v>
      </c>
      <c r="K28">
        <v>0</v>
      </c>
      <c r="L28">
        <v>0</v>
      </c>
    </row>
    <row r="29" spans="2:12">
      <c r="B29" s="34" t="s">
        <v>33</v>
      </c>
      <c r="C29" s="132">
        <f>'all sect'!O57</f>
        <v>245.7630681818182</v>
      </c>
      <c r="D29" s="132">
        <f>'all sect'!AQ57</f>
        <v>49.43204545454546</v>
      </c>
      <c r="F29" s="34" t="s">
        <v>33</v>
      </c>
      <c r="G29" s="132">
        <f>'all sect'!P57</f>
        <v>386.81127272727275</v>
      </c>
      <c r="H29" s="132">
        <f>'all sect'!AR57</f>
        <v>93.359090909090895</v>
      </c>
      <c r="J29" s="34">
        <v>10</v>
      </c>
      <c r="K29" s="132">
        <f>'all sect'!M57</f>
        <v>4.8100000000000005</v>
      </c>
      <c r="L29" s="132">
        <f>'all sect'!AS57</f>
        <v>0.70418181818181813</v>
      </c>
    </row>
    <row r="30" spans="2:12">
      <c r="B30" s="34" t="s">
        <v>26</v>
      </c>
      <c r="C30" s="132">
        <f>'all sect'!K57</f>
        <v>248.99252380952379</v>
      </c>
      <c r="D30" s="132">
        <f>'all sect'!AU57</f>
        <v>62.495052904761891</v>
      </c>
      <c r="F30" s="34" t="s">
        <v>26</v>
      </c>
      <c r="G30" s="132">
        <f>'all sect'!L57</f>
        <v>500.34349206349214</v>
      </c>
      <c r="H30" s="132">
        <f>'all sect'!AV57</f>
        <v>129.02354896606059</v>
      </c>
      <c r="J30" s="34">
        <v>20</v>
      </c>
      <c r="K30" s="132">
        <f>'all sect'!Q57</f>
        <v>7.5031818181818162</v>
      </c>
      <c r="L30" s="132">
        <f>'all sect'!AW57</f>
        <v>1.5319047619047619</v>
      </c>
    </row>
    <row r="31" spans="2:12">
      <c r="B31" s="34" t="s">
        <v>44</v>
      </c>
      <c r="C31" s="132"/>
      <c r="D31" s="132">
        <f>'all sect'!BG57</f>
        <v>72.842185272727264</v>
      </c>
      <c r="F31" s="34" t="s">
        <v>44</v>
      </c>
      <c r="G31" s="132"/>
      <c r="H31" s="132">
        <f>'all sect'!BH57</f>
        <v>163.17783416233769</v>
      </c>
      <c r="J31" s="34">
        <v>30</v>
      </c>
      <c r="K31" s="132">
        <f>'all sect'!U57</f>
        <v>10.334090909090907</v>
      </c>
      <c r="L31" s="132">
        <f>'all sect'!BI57</f>
        <v>2.6420954545454545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6F5F-A7BF-A848-B81C-93844154D9F2}">
  <dimension ref="B1:L31"/>
  <sheetViews>
    <sheetView workbookViewId="0">
      <selection activeCell="L31" sqref="L31"/>
    </sheetView>
  </sheetViews>
  <sheetFormatPr baseColWidth="10" defaultRowHeight="13"/>
  <sheetData>
    <row r="1" spans="2:12" s="133" customFormat="1">
      <c r="C1" s="133" t="s">
        <v>105</v>
      </c>
      <c r="G1" s="133" t="s">
        <v>106</v>
      </c>
      <c r="K1" s="133" t="s">
        <v>107</v>
      </c>
    </row>
    <row r="2" spans="2:12">
      <c r="B2" s="34" t="s">
        <v>100</v>
      </c>
      <c r="C2" s="34" t="s">
        <v>109</v>
      </c>
      <c r="D2" s="34" t="s">
        <v>108</v>
      </c>
      <c r="F2" s="34" t="s">
        <v>100</v>
      </c>
      <c r="G2" s="34" t="s">
        <v>109</v>
      </c>
      <c r="H2" s="34" t="s">
        <v>108</v>
      </c>
      <c r="J2" s="34" t="s">
        <v>103</v>
      </c>
      <c r="K2" s="34" t="s">
        <v>109</v>
      </c>
      <c r="L2" s="34" t="s">
        <v>108</v>
      </c>
    </row>
    <row r="3" spans="2:12">
      <c r="B3" s="34" t="s">
        <v>39</v>
      </c>
      <c r="C3" s="132">
        <f>'all sect'!AM27</f>
        <v>38.636821052631582</v>
      </c>
      <c r="D3" s="132"/>
      <c r="F3" s="34" t="s">
        <v>39</v>
      </c>
      <c r="G3" s="132">
        <f>'all sect'!AN27</f>
        <v>94.566884210526339</v>
      </c>
      <c r="H3" s="132"/>
      <c r="J3" s="34">
        <v>0</v>
      </c>
      <c r="K3">
        <v>0</v>
      </c>
      <c r="L3">
        <v>0</v>
      </c>
    </row>
    <row r="4" spans="2:12">
      <c r="B4" s="34" t="s">
        <v>38</v>
      </c>
      <c r="C4" s="132">
        <f>'all sect'!AI27</f>
        <v>41.01809999999999</v>
      </c>
      <c r="D4" s="132">
        <f>'all sect'!AY27</f>
        <v>57.633574999999993</v>
      </c>
      <c r="F4" s="34" t="s">
        <v>38</v>
      </c>
      <c r="G4" s="132">
        <f>'all sect'!AJ27</f>
        <v>104.29949999999999</v>
      </c>
      <c r="H4" s="132">
        <f>'all sect'!AZ27</f>
        <v>159.33629999999999</v>
      </c>
      <c r="J4" s="34">
        <v>10</v>
      </c>
      <c r="K4" s="132">
        <f>'all sect'!AG27</f>
        <v>0.97336842105263177</v>
      </c>
      <c r="L4" s="132">
        <f>'all sect'!BA27</f>
        <v>1.1480350000000001</v>
      </c>
    </row>
    <row r="5" spans="2:12">
      <c r="B5" s="34" t="s">
        <v>37</v>
      </c>
      <c r="C5" s="132">
        <f>'all sect'!AE27</f>
        <v>39.091842105263161</v>
      </c>
      <c r="D5" s="132">
        <f>'all sect'!BC27</f>
        <v>52.77</v>
      </c>
      <c r="F5" s="34" t="s">
        <v>37</v>
      </c>
      <c r="G5" s="132">
        <f>'all sect'!AF27</f>
        <v>113.39942105263158</v>
      </c>
      <c r="H5" s="132">
        <f>'all sect'!BD27</f>
        <v>134.96950000000001</v>
      </c>
      <c r="J5" s="34">
        <v>20</v>
      </c>
      <c r="K5" s="132">
        <f>'all sect'!AK27</f>
        <v>1.1713750000000001</v>
      </c>
      <c r="L5" s="132">
        <f>'all sect'!BE27</f>
        <v>1.9155000000000002</v>
      </c>
    </row>
    <row r="6" spans="2:12">
      <c r="B6" s="34" t="s">
        <v>44</v>
      </c>
      <c r="C6" s="132"/>
      <c r="D6" s="132">
        <f>'all sect'!BG27</f>
        <v>48.525500000000001</v>
      </c>
      <c r="F6" s="34" t="s">
        <v>44</v>
      </c>
      <c r="G6" s="132"/>
      <c r="H6" s="132">
        <f>'all sect'!BH27</f>
        <v>132.97575000000001</v>
      </c>
      <c r="J6" s="34">
        <v>30</v>
      </c>
      <c r="K6" s="132">
        <f>'all sect'!AO27</f>
        <v>2.4242105263157891</v>
      </c>
      <c r="L6" s="132">
        <f>'all sect'!BI27</f>
        <v>2.9880000000000004</v>
      </c>
    </row>
    <row r="7" spans="2:12">
      <c r="C7" s="132"/>
      <c r="D7" s="132"/>
      <c r="G7" s="132"/>
      <c r="H7" s="132"/>
    </row>
    <row r="8" spans="2:12">
      <c r="C8" s="132"/>
      <c r="D8" s="132"/>
      <c r="G8" s="132"/>
      <c r="H8" s="132"/>
    </row>
    <row r="9" spans="2:12">
      <c r="C9" s="132"/>
      <c r="D9" s="132"/>
      <c r="G9" s="132"/>
      <c r="H9" s="132"/>
    </row>
    <row r="10" spans="2:12">
      <c r="C10" s="132"/>
      <c r="D10" s="132"/>
      <c r="G10" s="132"/>
      <c r="H10" s="132"/>
    </row>
    <row r="27" spans="2:12">
      <c r="B27" s="34" t="s">
        <v>100</v>
      </c>
      <c r="C27" s="34" t="s">
        <v>109</v>
      </c>
      <c r="D27" s="34" t="s">
        <v>108</v>
      </c>
      <c r="F27" s="34" t="s">
        <v>100</v>
      </c>
      <c r="G27" s="34" t="s">
        <v>109</v>
      </c>
      <c r="H27" s="34" t="s">
        <v>108</v>
      </c>
      <c r="J27" s="34" t="s">
        <v>103</v>
      </c>
      <c r="K27" s="34" t="s">
        <v>109</v>
      </c>
      <c r="L27" s="34" t="s">
        <v>108</v>
      </c>
    </row>
    <row r="28" spans="2:12">
      <c r="B28" s="34" t="s">
        <v>39</v>
      </c>
      <c r="C28" s="132">
        <f>'all sect'!AM57</f>
        <v>54.713275636363619</v>
      </c>
      <c r="D28" s="132"/>
      <c r="F28" s="34" t="s">
        <v>39</v>
      </c>
      <c r="G28" s="132">
        <f>'all sect'!AN57</f>
        <v>99.464263636363611</v>
      </c>
      <c r="H28" s="132"/>
      <c r="J28" s="34">
        <v>0</v>
      </c>
      <c r="K28">
        <v>0</v>
      </c>
      <c r="L28">
        <v>0</v>
      </c>
    </row>
    <row r="29" spans="2:12">
      <c r="B29" s="34" t="s">
        <v>38</v>
      </c>
      <c r="C29" s="132">
        <f>'all sect'!AI57</f>
        <v>52.018128571428576</v>
      </c>
      <c r="D29" s="132">
        <f>'all sect'!AY57</f>
        <v>71.734285714285704</v>
      </c>
      <c r="F29" s="34" t="s">
        <v>38</v>
      </c>
      <c r="G29" s="132">
        <f>'all sect'!AJ57</f>
        <v>86.895292448979575</v>
      </c>
      <c r="H29" s="132">
        <f>'all sect'!AZ57</f>
        <v>194.35238095238097</v>
      </c>
      <c r="J29" s="34">
        <v>10</v>
      </c>
      <c r="K29" s="132">
        <f>'all sect'!AG57</f>
        <v>0.64681818181818196</v>
      </c>
      <c r="L29" s="132">
        <f>'all sect'!BA57</f>
        <v>1.4738095238095237</v>
      </c>
    </row>
    <row r="30" spans="2:12">
      <c r="B30" s="34" t="s">
        <v>37</v>
      </c>
      <c r="C30" s="132">
        <f>'all sect'!AE57</f>
        <v>49.625642818181809</v>
      </c>
      <c r="D30" s="132">
        <f>'all sect'!BC57</f>
        <v>82.99558440909091</v>
      </c>
      <c r="F30" s="34" t="s">
        <v>37</v>
      </c>
      <c r="G30" s="132">
        <f>'all sect'!AF57</f>
        <v>88.088268398333327</v>
      </c>
      <c r="H30" s="132">
        <f>'all sect'!BD57</f>
        <v>160.89448051818184</v>
      </c>
      <c r="J30" s="34">
        <v>20</v>
      </c>
      <c r="K30" s="132">
        <f>'all sect'!AK57</f>
        <v>1.3766666666666667</v>
      </c>
      <c r="L30" s="132">
        <f>'all sect'!BE57</f>
        <v>2.1462272727272733</v>
      </c>
    </row>
    <row r="31" spans="2:12">
      <c r="B31" s="34" t="s">
        <v>44</v>
      </c>
      <c r="C31" s="132"/>
      <c r="D31" s="132">
        <f>'all sect'!BG57</f>
        <v>72.842185272727264</v>
      </c>
      <c r="F31" s="34" t="s">
        <v>44</v>
      </c>
      <c r="G31" s="132"/>
      <c r="H31" s="132">
        <f>'all sect'!BH57</f>
        <v>163.17783416233769</v>
      </c>
      <c r="J31" s="34">
        <v>30</v>
      </c>
      <c r="K31" s="132">
        <f>'all sect'!AO57</f>
        <v>2.4613636363636364</v>
      </c>
      <c r="L31" s="132">
        <f>'all sect'!BI57</f>
        <v>2.6420954545454545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M2-5</vt:lpstr>
      <vt:lpstr>M7-10</vt:lpstr>
      <vt:lpstr>T9-12</vt:lpstr>
      <vt:lpstr>T2-5</vt:lpstr>
      <vt:lpstr>T7-10</vt:lpstr>
      <vt:lpstr>W9-12</vt:lpstr>
      <vt:lpstr>W2-5</vt:lpstr>
      <vt:lpstr>W7-10</vt:lpstr>
      <vt:lpstr>Th9-12</vt:lpstr>
      <vt:lpstr>Th2-5</vt:lpstr>
      <vt:lpstr>Th7-10</vt:lpstr>
      <vt:lpstr>all sect</vt:lpstr>
      <vt:lpstr>oat tomato</vt:lpstr>
      <vt:lpstr>oat alfalfa</vt:lpstr>
      <vt:lpstr>tomato alfalfa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Ammerlaan</cp:lastModifiedBy>
  <cp:lastPrinted>2024-03-23T23:05:37Z</cp:lastPrinted>
  <dcterms:created xsi:type="dcterms:W3CDTF">2024-03-22T07:03:19Z</dcterms:created>
  <dcterms:modified xsi:type="dcterms:W3CDTF">2024-03-24T14:21:20Z</dcterms:modified>
</cp:coreProperties>
</file>